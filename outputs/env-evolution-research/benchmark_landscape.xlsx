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3ce7f7418a43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nchmark landscape" sheetId="1" r:id="R696c300632fd485c"/>
    <x:sheet xmlns:r="http://schemas.openxmlformats.org/officeDocument/2006/relationships" name="Methods" sheetId="2" r:id="R4c55f40bb4424bd6"/>
    <x:sheet xmlns:r="http://schemas.openxmlformats.org/officeDocument/2006/relationships" name="Sources" sheetId="3" r:id="R99dd05ced25d43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4"/>
      <x:color rgb="FF1F1F1F"/>
      <x:name val="Arial"/>
    </x:font>
    <x:font>
      <x:b/>
      <x:sz val="10"/>
      <x:color rgb="FF44546A"/>
      <x:name val="Arial"/>
    </x:font>
    <x:font>
      <x:b/>
      <x:sz val="12"/>
      <x:color rgb="FF1F4E78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4"/>
      <x:color rgb="FF1F2937"/>
      <x:name val="Arial"/>
    </x:font>
    <x:font>
      <x:sz val="9"/>
      <x:color rgb="FF1F2937"/>
      <x:name val="Arial"/>
    </x:font>
    <x:font>
      <x:b/>
      <x:sz val="9"/>
      <x:color rgb="FFFFFFFF"/>
      <x:name val="Arial"/>
    </x:font>
    <x:font>
      <x:b/>
      <x:sz val="9"/>
      <x:color rgb="FF334155"/>
      <x:name val="Arial"/>
    </x:font>
    <x:font>
      <x:i/>
      <x:sz val="9"/>
      <x:color rgb="FF475569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44546A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44546A"/>
      </x:patternFill>
    </x:fill>
  </x:fills>
  <x:borders count="12">
    <x:border/>
    <x:border>
      <x:bottom style="thin">
        <x:color rgb="FF9EADBA"/>
      </x:bottom>
    </x:border>
    <x:border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bottom style="medium">
        <x:color rgb="FF17365D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94A3B8"/>
      </x:bottom>
    </x:border>
  </x:borders>
  <x:cellStyleXfs count="1">
    <x:xf numFmtId="0" fontId="0" fillId="0" borderId="0"/>
  </x:cellStyleXfs>
  <x:cellXfs count="92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4" xfId="0" applyNumberFormat="1" applyFont="1" applyFill="1" applyBorder="1"/>
    <x:xf numFmtId="0" fontId="5" fillId="2" borderId="2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wrapText="1"/>
    </x:xf>
    <x:xf numFmtId="0" fontId="5" fillId="2" borderId="4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horizontal="center" wrapText="1"/>
    </x:xf>
    <x:xf numFmtId="0" fontId="5" fillId="2" borderId="3" xfId="0" applyNumberFormat="1" applyFont="1" applyFill="1" applyBorder="1" applyAlignment="1">
      <x:alignment horizontal="center" wrapText="1"/>
    </x:xf>
    <x:xf numFmtId="0" fontId="5" fillId="2" borderId="4" xfId="0" applyNumberFormat="1" applyFont="1" applyFill="1" applyBorder="1" applyAlignment="1">
      <x:alignment horizont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horizontal="center" vertical="top"/>
    </x:xf>
    <x:xf numFmtId="0" fontId="6" fillId="0" borderId="5" xfId="0" applyNumberFormat="1" applyFont="1" applyFill="1" applyBorder="1" applyAlignment="1">
      <x:alignment horizontal="center" vertical="top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horizontal="center" vertical="top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horizontal="center" vertical="top"/>
    </x:xf>
    <x:xf numFmtId="0" fontId="6" fillId="0" borderId="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0" fontId="5" fillId="3" borderId="10" xfId="0" applyNumberFormat="1" applyFont="1" applyFill="1" applyBorder="1"/>
    <x:xf numFmtId="0" fontId="5" fillId="3" borderId="8" xfId="0" applyNumberFormat="1" applyFont="1" applyFill="1" applyBorder="1" applyAlignment="1">
      <x:alignment wrapText="1"/>
    </x:xf>
    <x:xf numFmtId="0" fontId="5" fillId="3" borderId="9" xfId="0" applyNumberFormat="1" applyFont="1" applyFill="1" applyBorder="1" applyAlignment="1">
      <x:alignment wrapText="1"/>
    </x:xf>
    <x:xf numFmtId="0" fontId="5" fillId="3" borderId="10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horizontal="center" wrapText="1"/>
    </x:xf>
    <x:xf numFmtId="0" fontId="5" fillId="3" borderId="9" xfId="0" applyNumberFormat="1" applyFont="1" applyFill="1" applyBorder="1" applyAlignment="1">
      <x:alignment horizontal="center" wrapText="1"/>
    </x:xf>
    <x:xf numFmtId="0" fontId="5" fillId="3" borderId="10" xfId="0" applyNumberFormat="1" applyFont="1" applyFill="1" applyBorder="1" applyAlignment="1">
      <x:alignment horizontal="center" wrapText="1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5" fillId="3" borderId="10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horizontal="center" vertical="top" wrapText="1"/>
    </x:xf>
    <x:xf numFmtId="0" fontId="6" fillId="0" borderId="6" xfId="0" applyNumberFormat="1" applyFont="1" applyFill="1" applyBorder="1" applyAlignment="1">
      <x:alignment horizontal="center" vertical="top" wrapText="1"/>
    </x:xf>
    <x:xf numFmtId="0" fontId="6" fillId="0" borderId="7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5" fillId="4" borderId="10" xfId="0" applyNumberFormat="1" applyFont="1" applyFill="1" applyBorder="1"/>
    <x:xf numFmtId="0" fontId="5" fillId="4" borderId="8" xfId="0" applyNumberFormat="1" applyFont="1" applyFill="1" applyBorder="1" applyAlignment="1">
      <x:alignment horizontal="center"/>
    </x:xf>
    <x:xf numFmtId="0" fontId="5" fillId="4" borderId="9" xfId="0" applyNumberFormat="1" applyFont="1" applyFill="1" applyBorder="1" applyAlignment="1">
      <x:alignment horizontal="center"/>
    </x:xf>
    <x:xf numFmtId="0" fontId="5" fillId="4" borderId="10" xfId="0" applyNumberFormat="1" applyFont="1" applyFill="1" applyBorder="1" applyAlignment="1">
      <x:alignment horizontal="center"/>
    </x:xf>
    <x:xf numFmtId="0" fontId="5" fillId="4" borderId="8" xfId="0" applyNumberFormat="1" applyFont="1" applyFill="1" applyBorder="1" applyAlignment="1">
      <x:alignment horizontal="center" vertical="center"/>
    </x:xf>
    <x:xf numFmtId="0" fontId="5" fillId="4" borderId="9" xfId="0" applyNumberFormat="1" applyFont="1" applyFill="1" applyBorder="1" applyAlignment="1">
      <x:alignment horizontal="center" vertical="center"/>
    </x:xf>
    <x:xf numFmtId="0" fontId="5" fillId="4" borderId="1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0" fillId="0" borderId="11" xfId="0" applyNumberFormat="1" applyFont="1" applyFill="1" applyBorder="1"/>
    <x:xf numFmtId="0" fontId="8" fillId="0" borderId="0" xfId="0" applyNumberFormat="1" applyFont="1" applyFill="1" applyBorder="1"/>
    <x:xf numFmtId="0" fontId="8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horizontal="center" wrapText="1"/>
    </x:xf>
    <x:xf numFmtId="0" fontId="9" fillId="5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1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C2410C"/>
      </x:font>
      <x:fill>
        <x:patternFill patternType="solid">
          <x:bgColor rgb="FFFCE8D8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032f05d3894e86" /><Relationship Type="http://schemas.openxmlformats.org/officeDocument/2006/relationships/theme" Target="/xl/theme/theme1.xml" Id="R142ecb2cfdac474f" /><Relationship Type="http://schemas.openxmlformats.org/officeDocument/2006/relationships/sharedStrings" Target="/xl/sharedStrings.xml" Id="R371a0747386740ce" /><Relationship Type="http://schemas.openxmlformats.org/officeDocument/2006/relationships/worksheet" Target="/xl/worksheets/sheet1.xml" Id="R696c300632fd485c" /><Relationship Type="http://schemas.openxmlformats.org/officeDocument/2006/relationships/worksheet" Target="/xl/worksheets/sheet2.xml" Id="R4c55f40bb4424bd6" /><Relationship Type="http://schemas.openxmlformats.org/officeDocument/2006/relationships/worksheet" Target="/xl/worksheets/sheet3.xml" Id="R99dd05ced25d4370" /></Relationships>
</file>

<file path=xl/tables/table1.xml><?xml version="1.0" encoding="utf-8"?>
<x:table xmlns:x="http://schemas.openxmlformats.org/spreadsheetml/2006/main" id="1" name="BenchmarkRoadmapTable" displayName="BenchmarkRoadmapTable" ref="A7:S35" headerRowCount="1" totalsRowCount="0" totalsRowShown="0">
  <x:tableColumns count="19">
    <x:tableColumn id="1" name="Priority"/>
    <x:tableColumn id="2" name="Score"/>
    <x:tableColumn id="3" name="Benchmark / testbed"/>
    <x:tableColumn id="4" name="Roadmap role"/>
    <x:tableColumn id="5" name="Current project anchor"/>
    <x:tableColumn id="6" name="Domain"/>
    <x:tableColumn id="7" name="Interface"/>
    <x:tableColumn id="8" name="First executable slice"/>
    <x:tableColumn id="9" name="Native verifier"/>
    <x:tableColumn id="10" name="Reset / snapshot"/>
    <x:tableColumn id="11" name="Adapter"/>
    <x:tableColumn id="12" name="Verifier"/>
    <x:tableColumn id="13" name="Reset"/>
    <x:tableColumn id="14" name="Six phases"/>
    <x:tableColumn id="15" name="Diagnostics"/>
    <x:tableColumn id="16" name="Run cost"/>
    <x:tableColumn id="17" name="Transfer"/>
    <x:tableColumn id="18" name="Next action / reason"/>
    <x:tableColumn id="19" name="Source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olutionMethodsTable" displayName="EvolutionMethodsTable" ref="A5:H18" headerRowCount="1" totalsRowCount="0" totalsRowShown="0">
  <x:tableColumns count="8">
    <x:tableColumn id="1" name="Component"/>
    <x:tableColumn id="2" name="What changes"/>
    <x:tableColumn id="3" name="Input / selection signal"/>
    <x:tableColumn id="4" name="Verifier boundary"/>
    <x:tableColumn id="5" name="Current status"/>
    <x:tableColumn id="6" name="Immediate use"/>
    <x:tableColumn id="7" name="Risk / control"/>
    <x:tableColumn id="8" name="Source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imarySourcesTable" displayName="PrimarySourcesTable" ref="A5:E43" headerRowCount="1" totalsRowCount="0" totalsRowShown="0">
  <x:tableColumns count="5">
    <x:tableColumn id="1" name="Source ID"/>
    <x:tableColumn id="2" name="Work"/>
    <x:tableColumn id="3" name="Year"/>
    <x:tableColumn id="4" name="Primary URL"/>
    <x:tableColumn id="5" name="Evidence us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7da52262cb4d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2e1640148434e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527eac63be34721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0" hidden="0" customWidth="1"/>
    <x:col min="2" max="2" width="8" hidden="0" customWidth="1"/>
    <x:col min="3" max="3" width="24" hidden="0" customWidth="1"/>
    <x:col min="4" max="4" width="22" hidden="0" customWidth="1"/>
    <x:col min="5" max="5" width="29" hidden="0" customWidth="1"/>
    <x:col min="6" max="6" width="17" hidden="0" customWidth="1"/>
    <x:col min="7" max="7" width="19" hidden="0" customWidth="1"/>
    <x:col min="8" max="8" width="35" hidden="0" customWidth="1"/>
    <x:col min="9" max="9" width="28" hidden="0" customWidth="1"/>
    <x:col min="10" max="10" width="23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40" hidden="0" customWidth="1"/>
    <x:col min="19" max="19" width="9" hidden="0" customWidth="1"/>
  </x:cols>
  <x:sheetData>
    <x:row r="2">
      <x:c r="A2" s="67" t="str">
        <x:v>Env-Agent-RSI benchmark roadmap</x:v>
      </x:c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</x:row>
    <x:row r="3">
      <x:c r="A3" s="68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8"/>
      <x:c r="R3" s="68"/>
      <x:c r="S3" s="68"/>
    </x:row>
    <x:row r="4">
      <x:c r="A4" s="79" t="str">
        <x:v>P0 count</x:v>
      </x:c>
      <x:c r="B4" s="79" t="n">
        <x:f>COUNTIF(A8:A35,"P0")</x:f>
        <x:v>6</x:v>
      </x:c>
      <x:c r="C4" s="79" t="str">
        <x:v>P1 count</x:v>
      </x:c>
      <x:c r="D4" s="79" t="n">
        <x:f>COUNTIF(A8:A35,"P1")</x:f>
        <x:v>5</x:v>
      </x:c>
      <x:c r="E4" s="79" t="str">
        <x:v>P2 count</x:v>
      </x:c>
      <x:c r="F4" s="79" t="n">
        <x:f>COUNTIF(A8:A35,"P2")</x:f>
        <x:v>17</x:v>
      </x:c>
      <x:c r="G4"/>
      <x:c r="H4" s="79" t="str">
        <x:v>Scoring</x:v>
      </x:c>
      <x:c r="I4" s="80" t="str">
        <x:v>七项各 0–2：adapter 复用、verifier、reset、六阶段、诊断信号、运行成本、场景迁移。</x:v>
      </x:c>
      <x:c r="J4" s="80"/>
      <x:c r="K4" s="80"/>
      <x:c r="L4" s="80"/>
      <x:c r="M4" s="80"/>
      <x:c r="N4" s="80"/>
      <x:c r="O4" s="80"/>
      <x:c r="P4" s="80"/>
      <x:c r="Q4" s="80"/>
      <x:c r="R4" s="80"/>
      <x:c r="S4" s="80"/>
    </x:row>
    <x:row r="5">
      <x:c r="A5" s="79"/>
      <x:c r="B5" s="79"/>
      <x:c r="C5" s="79"/>
      <x:c r="D5" s="79"/>
      <x:c r="E5" s="79"/>
      <x:c r="F5" s="79"/>
      <x:c r="G5"/>
      <x:c r="H5" s="79" t="str">
        <x:v>Decision rule</x:v>
      </x:c>
      <x:c r="I5" s="80" t="str">
        <x:v>P0=总分≥12且运行成本≥1；P1=总分≥8且不同时满足 reset≤1、成本=0；其余 P2。</x:v>
      </x:c>
      <x:c r="J5" s="80"/>
      <x:c r="K5" s="80"/>
      <x:c r="L5" s="80"/>
      <x:c r="M5" s="80"/>
      <x:c r="N5" s="80"/>
      <x:c r="O5" s="80"/>
      <x:c r="P5" s="80"/>
      <x:c r="Q5" s="80"/>
      <x:c r="R5" s="80"/>
      <x:c r="S5" s="80"/>
    </x:row>
    <x:row r="7" ht="32" customHeight="1">
      <x:c r="A7" s="74" t="str">
        <x:v>Priority</x:v>
      </x:c>
      <x:c r="B7" s="74" t="str">
        <x:v>Score</x:v>
      </x:c>
      <x:c r="C7" s="74" t="str">
        <x:v>Benchmark / testbed</x:v>
      </x:c>
      <x:c r="D7" s="74" t="str">
        <x:v>Roadmap role</x:v>
      </x:c>
      <x:c r="E7" s="74" t="str">
        <x:v>Current project anchor</x:v>
      </x:c>
      <x:c r="F7" s="74" t="str">
        <x:v>Domain</x:v>
      </x:c>
      <x:c r="G7" s="74" t="str">
        <x:v>Interface</x:v>
      </x:c>
      <x:c r="H7" s="74" t="str">
        <x:v>First executable slice</x:v>
      </x:c>
      <x:c r="I7" s="74" t="str">
        <x:v>Native verifier</x:v>
      </x:c>
      <x:c r="J7" s="74" t="str">
        <x:v>Reset / snapshot</x:v>
      </x:c>
      <x:c r="K7" s="74" t="str">
        <x:v>Adapter</x:v>
      </x:c>
      <x:c r="L7" s="74" t="str">
        <x:v>Verifier</x:v>
      </x:c>
      <x:c r="M7" s="74" t="str">
        <x:v>Reset</x:v>
      </x:c>
      <x:c r="N7" s="74" t="str">
        <x:v>Six phases</x:v>
      </x:c>
      <x:c r="O7" s="74" t="str">
        <x:v>Diagnostics</x:v>
      </x:c>
      <x:c r="P7" s="74" t="str">
        <x:v>Run cost</x:v>
      </x:c>
      <x:c r="Q7" s="74" t="str">
        <x:v>Transfer</x:v>
      </x:c>
      <x:c r="R7" s="74" t="str">
        <x:v>Next action / reason</x:v>
      </x:c>
      <x:c r="S7" s="74" t="str">
        <x:v>Source ID</x:v>
      </x:c>
    </x:row>
    <x:row r="8" ht="44" customHeight="1">
      <x:c r="A8" s="76" t="str">
        <x:f>IF(AND(B8&gt;=12,P8&gt;=1),"P0",IF(AND(B8&gt;=8,NOT(AND(M8&lt;=1,P8=0))),"P1","P2"))</x:f>
        <x:v>P0</x:v>
      </x:c>
      <x:c r="B8" s="76" t="n">
        <x:f>SUM(K8:Q8)</x:f>
        <x:v>14</x:v>
      </x:c>
      <x:c r="C8" s="78" t="str">
        <x:v>Local five-scenario suite</x:v>
      </x:c>
      <x:c r="D8" s="78" t="str">
        <x:v>Implemented gate</x:v>
      </x:c>
      <x:c r="E8" s="78" t="str">
        <x:v>五个本地场景、六阶段 Harness、Target/Diagnostic</x:v>
      </x:c>
      <x:c r="F8" s="78" t="str">
        <x:v>状态化 API</x:v>
      </x:c>
      <x:c r="G8" s="78" t="str">
        <x:v>JSON tools</x:v>
      </x:c>
      <x:c r="H8" s="78" t="str">
        <x:v>每个场景的 oracle、snapshot、Target replay 与 failure signature</x:v>
      </x:c>
      <x:c r="I8" s="78" t="str">
        <x:v>独立状态 verifier / tests</x:v>
      </x:c>
      <x:c r="J8" s="78" t="str">
        <x:v>完整快照</x:v>
      </x:c>
      <x:c r="K8" s="76" t="n">
        <x:v>2</x:v>
      </x:c>
      <x:c r="L8" s="76" t="n">
        <x:v>2</x:v>
      </x:c>
      <x:c r="M8" s="76" t="n">
        <x:v>2</x:v>
      </x:c>
      <x:c r="N8" s="76" t="n">
        <x:v>2</x:v>
      </x:c>
      <x:c r="O8" s="76" t="n">
        <x:v>2</x:v>
      </x:c>
      <x:c r="P8" s="76" t="n">
        <x:v>2</x:v>
      </x:c>
      <x:c r="Q8" s="76" t="n">
        <x:v>2</x:v>
      </x:c>
      <x:c r="R8" s="78" t="str">
        <x:v>冻结一个 Target 配置，建立 baseline→辅助节点→父节点回测矩阵。</x:v>
      </x:c>
      <x:c r="S8" s="77" t="str">
        <x:v>S00</x:v>
      </x:c>
    </x:row>
    <x:row r="9" ht="44" customHeight="1">
      <x:c r="A9" s="76" t="str">
        <x:f>IF(AND(B9&gt;=12,P9&gt;=1),"P0",IF(AND(B9&gt;=8,NOT(AND(M9&lt;=1,P9=0))),"P1","P2"))</x:f>
        <x:v>P0</x:v>
      </x:c>
      <x:c r="B9" s="76" t="n">
        <x:f>SUM(K9:Q9)</x:f>
        <x:v>14</x:v>
      </x:c>
      <x:c r="C9" s="78" t="str">
        <x:v>ToolSandbox</x:v>
      </x:c>
      <x:c r="D9" s="78" t="str">
        <x:v>First external pilot</x:v>
      </x:c>
      <x:c r="E9" s="78" t="str">
        <x:v>01 exactly-once；04 calendar/email</x:v>
      </x:c>
      <x:c r="F9" s="78" t="str">
        <x:v>状态化工具 sandbox</x:v>
      </x:c>
      <x:c r="G9" s="78" t="str">
        <x:v>JSON tools</x:v>
      </x:c>
      <x:c r="H9" s="78" t="str">
        <x:v>先选 10 个需要状态依赖和写后确认的任务</x:v>
      </x:c>
      <x:c r="I9" s="78" t="str">
        <x:v>里程碑与 namespace 状态检查</x:v>
      </x:c>
      <x:c r="J9" s="78" t="str">
        <x:v>任务状态可重建</x:v>
      </x:c>
      <x:c r="K9" s="76" t="n">
        <x:v>2</x:v>
      </x:c>
      <x:c r="L9" s="76" t="n">
        <x:v>2</x:v>
      </x:c>
      <x:c r="M9" s="76" t="n">
        <x:v>2</x:v>
      </x:c>
      <x:c r="N9" s="76" t="n">
        <x:v>2</x:v>
      </x:c>
      <x:c r="O9" s="76" t="n">
        <x:v>2</x:v>
      </x:c>
      <x:c r="P9" s="76" t="n">
        <x:v>2</x:v>
      </x:c>
      <x:c r="Q9" s="76" t="n">
        <x:v>2</x:v>
      </x:c>
      <x:c r="R9" s="78" t="str">
        <x:v>实现最薄 adapter，验证本地 skill 是否迁移到公开任务。</x:v>
      </x:c>
      <x:c r="S9" s="77" t="str">
        <x:v>S34</x:v>
      </x:c>
    </x:row>
    <x:row r="10" ht="44" customHeight="1">
      <x:c r="A10" s="76" t="str">
        <x:f>IF(AND(B10&gt;=12,P10&gt;=1),"P0",IF(AND(B10&gt;=8,NOT(AND(M10&lt;=1,P10=0))),"P1","P2"))</x:f>
        <x:v>P0</x:v>
      </x:c>
      <x:c r="B10" s="76" t="n">
        <x:f>SUM(K10:Q10)</x:f>
        <x:v>14</x:v>
      </x:c>
      <x:c r="C10" s="78" t="str">
        <x:v>WorkBench</x:v>
      </x:c>
      <x:c r="D10" s="78" t="str">
        <x:v>First external pilot</x:v>
      </x:c>
      <x:c r="E10" s="78" t="str">
        <x:v>04 calendar/email 的直接来源</x:v>
      </x:c>
      <x:c r="F10" s="78" t="str">
        <x:v>办公 API</x:v>
      </x:c>
      <x:c r="G10" s="78" t="str">
        <x:v>26 tools / DB state</x:v>
      </x:c>
      <x:c r="H10" s="78" t="str">
        <x:v>20 个邮件与日历任务，排除纯只读题</x:v>
      </x:c>
      <x:c r="I10" s="78" t="str">
        <x:v>结构化 outcome / 数据库状态</x:v>
      </x:c>
      <x:c r="J10" s="78" t="str">
        <x:v>sandbox 数据可重置</x:v>
      </x:c>
      <x:c r="K10" s="76" t="n">
        <x:v>2</x:v>
      </x:c>
      <x:c r="L10" s="76" t="n">
        <x:v>2</x:v>
      </x:c>
      <x:c r="M10" s="76" t="n">
        <x:v>2</x:v>
      </x:c>
      <x:c r="N10" s="76" t="n">
        <x:v>2</x:v>
      </x:c>
      <x:c r="O10" s="76" t="n">
        <x:v>2</x:v>
      </x:c>
      <x:c r="P10" s="76" t="n">
        <x:v>2</x:v>
      </x:c>
      <x:c r="Q10" s="76" t="n">
        <x:v>2</x:v>
      </x:c>
      <x:c r="R10" s="78" t="str">
        <x:v>优先复现本地 calendar/email task 的上游样本，再扩到 20 题。</x:v>
      </x:c>
      <x:c r="S10" s="77" t="str">
        <x:v>S35</x:v>
      </x:c>
    </x:row>
    <x:row r="11" ht="44" customHeight="1">
      <x:c r="A11" s="76" t="str">
        <x:f>IF(AND(B11&gt;=12,P11&gt;=1),"P0",IF(AND(B11&gt;=8,NOT(AND(M11&lt;=1,P11=0))),"P1","P2"))</x:f>
        <x:v>P0</x:v>
      </x:c>
      <x:c r="B11" s="76" t="n">
        <x:f>SUM(K11:Q11)</x:f>
        <x:v>13</x:v>
      </x:c>
      <x:c r="C11" s="78" t="str">
        <x:v>τ³-bench</x:v>
      </x:c>
      <x:c r="D11" s="78" t="str">
        <x:v>Primary API benchmark</x:v>
      </x:c>
      <x:c r="E11" s="78" t="str">
        <x:v>02 order lifecycle</x:v>
      </x:c>
      <x:c r="F11" s="78" t="str">
        <x:v>零售/航空/电信 API + 用户</x:v>
      </x:c>
      <x:c r="G11" s="78" t="str">
        <x:v>JSON tools + dialogue</x:v>
      </x:c>
      <x:c r="H11" s="78" t="str">
        <x:v>retail base split，scripted user，10 个取消/退款任务</x:v>
      </x:c>
      <x:c r="I11" s="78" t="str">
        <x:v>task criteria + 数据库状态</x:v>
      </x:c>
      <x:c r="J11" s="78" t="str">
        <x:v>domain DB + 对话状态</x:v>
      </x:c>
      <x:c r="K11" s="76" t="n">
        <x:v>2</x:v>
      </x:c>
      <x:c r="L11" s="76" t="n">
        <x:v>2</x:v>
      </x:c>
      <x:c r="M11" s="76" t="n">
        <x:v>2</x:v>
      </x:c>
      <x:c r="N11" s="76" t="n">
        <x:v>2</x:v>
      </x:c>
      <x:c r="O11" s="76" t="n">
        <x:v>2</x:v>
      </x:c>
      <x:c r="P11" s="76" t="n">
        <x:v>1</x:v>
      </x:c>
      <x:c r="Q11" s="76" t="n">
        <x:v>2</x:v>
      </x:c>
      <x:c r="R11" s="78" t="str">
        <x:v>从本地订单动作 codec 迁移；固定 release、user model、seed。</x:v>
      </x:c>
      <x:c r="S11" s="77" t="str">
        <x:v>S37</x:v>
      </x:c>
    </x:row>
    <x:row r="12" ht="44" customHeight="1">
      <x:c r="A12" s="76" t="str">
        <x:f>IF(AND(B12&gt;=12,P12&gt;=1),"P0",IF(AND(B12&gt;=8,NOT(AND(M12&lt;=1,P12=0))),"P1","P2"))</x:f>
        <x:v>P0</x:v>
      </x:c>
      <x:c r="B12" s="76" t="n">
        <x:f>SUM(K12:Q12)</x:f>
        <x:v>13</x:v>
      </x:c>
      <x:c r="C12" s="78" t="str">
        <x:v>AppWorld</x:v>
      </x:c>
      <x:c r="D12" s="78" t="str">
        <x:v>Primary cross-app benchmark</x:v>
      </x:c>
      <x:c r="E12" s="78" t="str">
        <x:v>03 issue；04 calendar/email</x:v>
      </x:c>
      <x:c r="F12" s="78" t="str">
        <x:v>多应用 API</x:v>
      </x:c>
      <x:c r="G12" s="78" t="str">
        <x:v>Python / JSON APIs</x:v>
      </x:c>
      <x:c r="H12" s="78" t="str">
        <x:v>train/dev 中 20 个有写副作用的 function-calling 任务</x:v>
      </x:c>
      <x:c r="I12" s="78" t="str">
        <x:v>数据库状态单测 + collateral damage</x:v>
      </x:c>
      <x:c r="J12" s="78" t="str">
        <x:v>任务世界与数据库可重置</x:v>
      </x:c>
      <x:c r="K12" s="76" t="n">
        <x:v>2</x:v>
      </x:c>
      <x:c r="L12" s="76" t="n">
        <x:v>2</x:v>
      </x:c>
      <x:c r="M12" s="76" t="n">
        <x:v>2</x:v>
      </x:c>
      <x:c r="N12" s="76" t="n">
        <x:v>2</x:v>
      </x:c>
      <x:c r="O12" s="76" t="n">
        <x:v>2</x:v>
      </x:c>
      <x:c r="P12" s="76" t="n">
        <x:v>1</x:v>
      </x:c>
      <x:c r="Q12" s="76" t="n">
        <x:v>2</x:v>
      </x:c>
      <x:c r="R12" s="78" t="str">
        <x:v>先做 function-calling 子集；保留 test split 作为最终迁移评估。</x:v>
      </x:c>
      <x:c r="S12" s="77" t="str">
        <x:v>S03</x:v>
      </x:c>
    </x:row>
    <x:row r="13" ht="44" customHeight="1">
      <x:c r="A13" s="76" t="str">
        <x:f>IF(AND(B13&gt;=12,P13&gt;=1),"P0",IF(AND(B13&gt;=8,NOT(AND(M13&lt;=1,P13=0))),"P1","P2"))</x:f>
        <x:v>P0</x:v>
      </x:c>
      <x:c r="B13" s="76" t="n">
        <x:f>SUM(K13:Q13)</x:f>
        <x:v>12</x:v>
      </x:c>
      <x:c r="C13" s="78" t="str">
        <x:v>EnvHarness toy24</x:v>
      </x:c>
      <x:c r="D13" s="78" t="str">
        <x:v>Protocol compatibility smoke</x:v>
      </x:c>
      <x:c r="E13" s="78" t="str">
        <x:v>BenchmarkAdapter 与六阶段 Harness</x:v>
      </x:c>
      <x:c r="F13" s="78" t="str">
        <x:v>内存 toy env</x:v>
      </x:c>
      <x:c r="G13" s="78" t="str">
        <x:v>reset / step</x:v>
      </x:c>
      <x:c r="H13" s="78" t="str">
        <x:v>运行官方 check 与 snapshot round-trip</x:v>
      </x:c>
      <x:c r="I13" s="78" t="str">
        <x:v>确定性目标谓词</x:v>
      </x:c>
      <x:c r="J13" s="78" t="str">
        <x:v>完整 save/load</x:v>
      </x:c>
      <x:c r="K13" s="76" t="n">
        <x:v>2</x:v>
      </x:c>
      <x:c r="L13" s="76" t="n">
        <x:v>2</x:v>
      </x:c>
      <x:c r="M13" s="76" t="n">
        <x:v>2</x:v>
      </x:c>
      <x:c r="N13" s="76" t="n">
        <x:v>2</x:v>
      </x:c>
      <x:c r="O13" s="76" t="n">
        <x:v>1</x:v>
      </x:c>
      <x:c r="P13" s="76" t="n">
        <x:v>2</x:v>
      </x:c>
      <x:c r="Q13" s="76" t="n">
        <x:v>1</x:v>
      </x:c>
      <x:c r="R13" s="78" t="str">
        <x:v>只用于验证 Bridge/规则语义，不作为环境辅助效果主结论。</x:v>
      </x:c>
      <x:c r="S13" s="77" t="str">
        <x:v>S02</x:v>
      </x:c>
    </x:row>
    <x:row r="14" ht="44" customHeight="1">
      <x:c r="A14" s="76" t="str">
        <x:f>IF(AND(B14&gt;=12,P14&gt;=1),"P0",IF(AND(B14&gt;=8,NOT(AND(M14&lt;=1,P14=0))),"P1","P2"))</x:f>
        <x:v>P1</x:v>
      </x:c>
      <x:c r="B14" s="76" t="n">
        <x:f>SUM(K14:Q14)</x:f>
        <x:v>12</x:v>
      </x:c>
      <x:c r="C14" s="78" t="str">
        <x:v>SWE-bench Verified</x:v>
      </x:c>
      <x:c r="D14" s="78" t="str">
        <x:v>Code benchmark pilot</x:v>
      </x:c>
      <x:c r="E14" s="78" t="str">
        <x:v>05 code repair</x:v>
      </x:c>
      <x:c r="F14" s="78" t="str">
        <x:v>容器化代码仓库</x:v>
      </x:c>
      <x:c r="G14" s="78" t="str">
        <x:v>shell + file tools</x:v>
      </x:c>
      <x:c r="H14" s="78" t="str">
        <x:v>10 个 Python、构建快、测试稳定的 Verified task</x:v>
      </x:c>
      <x:c r="I14" s="78" t="str">
        <x:v>FAIL_TO_PASS + PASS_TO_PASS</x:v>
      </x:c>
      <x:c r="J14" s="78" t="str">
        <x:v>镜像 + git diff 重建</x:v>
      </x:c>
      <x:c r="K14" s="76" t="n">
        <x:v>2</x:v>
      </x:c>
      <x:c r="L14" s="76" t="n">
        <x:v>2</x:v>
      </x:c>
      <x:c r="M14" s="76" t="n">
        <x:v>2</x:v>
      </x:c>
      <x:c r="N14" s="76" t="n">
        <x:v>2</x:v>
      </x:c>
      <x:c r="O14" s="76" t="n">
        <x:v>2</x:v>
      </x:c>
      <x:c r="P14" s="76" t="n">
        <x:v>0</x:v>
      </x:c>
      <x:c r="Q14" s="76" t="n">
        <x:v>2</x:v>
      </x:c>
      <x:c r="R14" s="78" t="str">
        <x:v>先复用本地代码工具 schema；内环只跑小子集并缓存基础镜像。</x:v>
      </x:c>
      <x:c r="S14" s="77" t="str">
        <x:v>S09</x:v>
      </x:c>
    </x:row>
    <x:row r="15" ht="44" customHeight="1">
      <x:c r="A15" s="76" t="str">
        <x:f>IF(AND(B15&gt;=12,P15&gt;=1),"P0",IF(AND(B15&gt;=8,NOT(AND(M15&lt;=1,P15=0))),"P1","P2"))</x:f>
        <x:v>P1</x:v>
      </x:c>
      <x:c r="B15" s="76" t="n">
        <x:f>SUM(K15:Q15)</x:f>
        <x:v>11</x:v>
      </x:c>
      <x:c r="C15" s="78" t="str">
        <x:v>ALFWorld</x:v>
      </x:c>
      <x:c r="D15" s="78" t="str">
        <x:v>Cross-domain control</x:v>
      </x:c>
      <x:c r="E15" s="78" t="str">
        <x:v>验证 Setup/Observation 跨域性</x:v>
      </x:c>
      <x:c r="F15" s="78" t="str">
        <x:v>文本具身</x:v>
      </x:c>
      <x:c r="G15" s="78" t="str">
        <x:v>text action</x:v>
      </x:c>
      <x:c r="H15" s="78" t="str">
        <x:v>TextWorld 模式单一 act(command) adapter</x:v>
      </x:c>
      <x:c r="I15" s="78" t="str">
        <x:v>环境目标谓词</x:v>
      </x:c>
      <x:c r="J15" s="78" t="str">
        <x:v>固定 task/seed</x:v>
      </x:c>
      <x:c r="K15" s="76" t="n">
        <x:v>2</x:v>
      </x:c>
      <x:c r="L15" s="76" t="n">
        <x:v>2</x:v>
      </x:c>
      <x:c r="M15" s="76" t="n">
        <x:v>2</x:v>
      </x:c>
      <x:c r="N15" s="76" t="n">
        <x:v>2</x:v>
      </x:c>
      <x:c r="O15" s="76" t="n">
        <x:v>1</x:v>
      </x:c>
      <x:c r="P15" s="76" t="n">
        <x:v>2</x:v>
      </x:c>
      <x:c r="Q15" s="76" t="n">
        <x:v>0</x:v>
      </x:c>
      <x:c r="R15" s="78" t="str">
        <x:v>作为跨域对照，避免把 API 副作用结论误当作普遍规律。</x:v>
      </x:c>
      <x:c r="S15" s="77" t="str">
        <x:v>S05</x:v>
      </x:c>
    </x:row>
    <x:row r="16" ht="44" customHeight="1">
      <x:c r="A16" s="76" t="str">
        <x:f>IF(AND(B16&gt;=12,P16&gt;=1),"P0",IF(AND(B16&gt;=8,NOT(AND(M16&lt;=1,P16=0))),"P1","P2"))</x:f>
        <x:v>P1</x:v>
      </x:c>
      <x:c r="B16" s="76" t="n">
        <x:f>SUM(K16:Q16)</x:f>
        <x:v>11</x:v>
      </x:c>
      <x:c r="C16" s="78" t="str">
        <x:v>Terminal-Bench 2.0</x:v>
      </x:c>
      <x:c r="D16" s="78" t="str">
        <x:v>Terminal generalization</x:v>
      </x:c>
      <x:c r="E16" s="78" t="str">
        <x:v>05 code repair 的扩展</x:v>
      </x:c>
      <x:c r="F16" s="78" t="str">
        <x:v>容器化终端</x:v>
      </x:c>
      <x:c r="G16" s="78" t="str">
        <x:v>shell actions</x:v>
      </x:c>
      <x:c r="H16" s="78" t="str">
        <x:v>先选 10 个无网络、短构建任务</x:v>
      </x:c>
      <x:c r="I16" s="78" t="str">
        <x:v>容器内综合测试</x:v>
      </x:c>
      <x:c r="J16" s="78" t="str">
        <x:v>每任务独立环境</x:v>
      </x:c>
      <x:c r="K16" s="76" t="n">
        <x:v>2</x:v>
      </x:c>
      <x:c r="L16" s="76" t="n">
        <x:v>2</x:v>
      </x:c>
      <x:c r="M16" s="76" t="n">
        <x:v>2</x:v>
      </x:c>
      <x:c r="N16" s="76" t="n">
        <x:v>2</x:v>
      </x:c>
      <x:c r="O16" s="76" t="n">
        <x:v>2</x:v>
      </x:c>
      <x:c r="P16" s="76" t="n">
        <x:v>0</x:v>
      </x:c>
      <x:c r="Q16" s="76" t="n">
        <x:v>1</x:v>
      </x:c>
      <x:c r="R16" s="78" t="str">
        <x:v>复用 shell codec 与 Budget；任务异构，不能直接自动生成 mutation。</x:v>
      </x:c>
      <x:c r="S16" s="77" t="str">
        <x:v>S16</x:v>
      </x:c>
    </x:row>
    <x:row r="17" ht="44" customHeight="1">
      <x:c r="A17" s="76" t="str">
        <x:f>IF(AND(B17&gt;=12,P17&gt;=1),"P0",IF(AND(B17&gt;=8,NOT(AND(M17&lt;=1,P17=0))),"P1","P2"))</x:f>
        <x:v>P1</x:v>
      </x:c>
      <x:c r="B17" s="76" t="n">
        <x:f>SUM(K17:Q17)</x:f>
        <x:v>10</x:v>
      </x:c>
      <x:c r="C17" s="78" t="str">
        <x:v>WebShop</x:v>
      </x:c>
      <x:c r="D17" s="78" t="str">
        <x:v>Simulated web control</x:v>
      </x:c>
      <x:c r="E17" s="78" t="str">
        <x:v>03 workflow 的浏览器前置验证</x:v>
      </x:c>
      <x:c r="F17" s="78" t="str">
        <x:v>模拟电商网页</x:v>
      </x:c>
      <x:c r="G17" s="78" t="str">
        <x:v>browser actions</x:v>
      </x:c>
      <x:c r="H17" s="78" t="str">
        <x:v>small 商品集上的搜索→选择→购买任务</x:v>
      </x:c>
      <x:c r="I17" s="78" t="str">
        <x:v>属性匹配奖励</x:v>
      </x:c>
      <x:c r="J17" s="78" t="str">
        <x:v>站点可重置</x:v>
      </x:c>
      <x:c r="K17" s="76" t="n">
        <x:v>2</x:v>
      </x:c>
      <x:c r="L17" s="76" t="n">
        <x:v>1</x:v>
      </x:c>
      <x:c r="M17" s="76" t="n">
        <x:v>2</x:v>
      </x:c>
      <x:c r="N17" s="76" t="n">
        <x:v>2</x:v>
      </x:c>
      <x:c r="O17" s="76" t="n">
        <x:v>1</x:v>
      </x:c>
      <x:c r="P17" s="76" t="n">
        <x:v>1</x:v>
      </x:c>
      <x:c r="Q17" s="76" t="n">
        <x:v>1</x:v>
      </x:c>
      <x:c r="R17" s="78" t="str">
        <x:v>先验证 Browser adapter 的动作/观察变化，再进入多站点环境。</x:v>
      </x:c>
      <x:c r="S17" s="77" t="str">
        <x:v>S06</x:v>
      </x:c>
    </x:row>
    <x:row r="18" ht="44" customHeight="1">
      <x:c r="A18" s="76" t="str">
        <x:f>IF(AND(B18&gt;=12,P18&gt;=1),"P0",IF(AND(B18&gt;=8,NOT(AND(M18&lt;=1,P18=0))),"P1","P2"))</x:f>
        <x:v>P1</x:v>
      </x:c>
      <x:c r="B18" s="76" t="n">
        <x:f>SUM(K18:Q18)</x:f>
        <x:v>10</x:v>
      </x:c>
      <x:c r="C18" s="78" t="str">
        <x:v>SpreadsheetBench 2</x:v>
      </x:c>
      <x:c r="D18" s="78" t="str">
        <x:v>File side-effect benchmark</x:v>
      </x:c>
      <x:c r="E18" s="78" t="str">
        <x:v>BenchmarkAdapter + 文件快照</x:v>
      </x:c>
      <x:c r="F18" s="78" t="str">
        <x:v>电子表格</x:v>
      </x:c>
      <x:c r="G18" s="78" t="str">
        <x:v>file / spreadsheet tools</x:v>
      </x:c>
      <x:c r="H18" s="78" t="str">
        <x:v>只选确定性单表编辑任务，排除 VLM evaluator 类</x:v>
      </x:c>
      <x:c r="I18" s="78" t="str">
        <x:v>工作簿结果 evaluator</x:v>
      </x:c>
      <x:c r="J18" s="78" t="str">
        <x:v>输入文件副本</x:v>
      </x:c>
      <x:c r="K18" s="76" t="n">
        <x:v>2</x:v>
      </x:c>
      <x:c r="L18" s="76" t="n">
        <x:v>2</x:v>
      </x:c>
      <x:c r="M18" s="76" t="n">
        <x:v>2</x:v>
      </x:c>
      <x:c r="N18" s="76" t="n">
        <x:v>2</x:v>
      </x:c>
      <x:c r="O18" s="76" t="n">
        <x:v>1</x:v>
      </x:c>
      <x:c r="P18" s="76" t="n">
        <x:v>0</x:v>
      </x:c>
      <x:c r="Q18" s="76" t="n">
        <x:v>1</x:v>
      </x:c>
      <x:c r="R18" s="78" t="str">
        <x:v>适合文件写后确认；先统一 workbook hash 与重算协议。</x:v>
      </x:c>
      <x:c r="S18" s="77" t="str">
        <x:v>S11</x:v>
      </x:c>
    </x:row>
    <x:row r="19" ht="44" customHeight="1">
      <x:c r="A19" s="76" t="str">
        <x:f>IF(AND(B19&gt;=12,P19&gt;=1),"P0",IF(AND(B19&gt;=8,NOT(AND(M19&lt;=1,P19=0))),"P1","P2"))</x:f>
        <x:v>P2</x:v>
      </x:c>
      <x:c r="B19" s="76" t="n">
        <x:f>SUM(K19:Q19)</x:f>
        <x:v>11</x:v>
      </x:c>
      <x:c r="C19" s="78" t="str">
        <x:v>WebArena-Verified</x:v>
      </x:c>
      <x:c r="D19" s="78" t="str">
        <x:v>Verified browser benchmark</x:v>
      </x:c>
      <x:c r="E19" s="78" t="str">
        <x:v>03 issue workflow</x:v>
      </x:c>
      <x:c r="F19" s="78" t="str">
        <x:v>多站点浏览器</x:v>
      </x:c>
      <x:c r="G19" s="78" t="str">
        <x:v>BrowserGym / Playwright</x:v>
      </x:c>
      <x:c r="H19" s="78" t="str">
        <x:v>GitLab 子集 10 个完全自托管任务</x:v>
      </x:c>
      <x:c r="I19" s="78" t="str">
        <x:v>response + network trace evaluator</x:v>
      </x:c>
      <x:c r="J19" s="78" t="str">
        <x:v>站点镜像/重建</x:v>
      </x:c>
      <x:c r="K19" s="76" t="n">
        <x:v>2</x:v>
      </x:c>
      <x:c r="L19" s="76" t="n">
        <x:v>2</x:v>
      </x:c>
      <x:c r="M19" s="76" t="n">
        <x:v>1</x:v>
      </x:c>
      <x:c r="N19" s="76" t="n">
        <x:v>2</x:v>
      </x:c>
      <x:c r="O19" s="76" t="n">
        <x:v>2</x:v>
      </x:c>
      <x:c r="P19" s="76" t="n">
        <x:v>0</x:v>
      </x:c>
      <x:c r="Q19" s="76" t="n">
        <x:v>2</x:v>
      </x:c>
      <x:c r="R19" s="78" t="str">
        <x:v>先实现可复用 BrowserGymAdapter；站点 reset 稳定后再进入主实验。</x:v>
      </x:c>
      <x:c r="S19" s="77" t="str">
        <x:v>S36</x:v>
      </x:c>
    </x:row>
    <x:row r="20" ht="44" customHeight="1">
      <x:c r="A20" s="76" t="str">
        <x:f>IF(AND(B20&gt;=12,P20&gt;=1),"P0",IF(AND(B20&gt;=8,NOT(AND(M20&lt;=1,P20=0))),"P1","P2"))</x:f>
        <x:v>P2</x:v>
      </x:c>
      <x:c r="B20" s="76" t="n">
        <x:f>SUM(K20:Q20)</x:f>
        <x:v>10</x:v>
      </x:c>
      <x:c r="C20" s="78" t="str">
        <x:v>WorkArena / WorkArena++</x:v>
      </x:c>
      <x:c r="D20" s="78" t="str">
        <x:v>Enterprise web benchmark</x:v>
      </x:c>
      <x:c r="E20" s="78" t="str">
        <x:v>03 issue workflow 的后期迁移</x:v>
      </x:c>
      <x:c r="F20" s="78" t="str">
        <x:v>ServiceNow Web UI</x:v>
      </x:c>
      <x:c r="G20" s="78" t="str">
        <x:v>BrowserGym actions</x:v>
      </x:c>
      <x:c r="H20" s="78" t="str">
        <x:v>审批后选 10 个单工作流任务</x:v>
      </x:c>
      <x:c r="I20" s="78" t="str">
        <x:v>程序化 task evaluator</x:v>
      </x:c>
      <x:c r="J20" s="78" t="str">
        <x:v>实例 reset 成本高</x:v>
      </x:c>
      <x:c r="K20" s="76" t="n">
        <x:v>2</x:v>
      </x:c>
      <x:c r="L20" s="76" t="n">
        <x:v>2</x:v>
      </x:c>
      <x:c r="M20" s="76" t="n">
        <x:v>1</x:v>
      </x:c>
      <x:c r="N20" s="76" t="n">
        <x:v>2</x:v>
      </x:c>
      <x:c r="O20" s="76" t="n">
        <x:v>2</x:v>
      </x:c>
      <x:c r="P20" s="76" t="n">
        <x:v>0</x:v>
      </x:c>
      <x:c r="Q20" s="76" t="n">
        <x:v>1</x:v>
      </x:c>
      <x:c r="R20" s="78" t="str">
        <x:v>复用 BrowserGymAdapter；部署和账号状态稳定性是前置门禁。</x:v>
      </x:c>
      <x:c r="S20" s="77" t="str">
        <x:v>S08</x:v>
      </x:c>
    </x:row>
    <x:row r="21" ht="44" customHeight="1">
      <x:c r="A21" s="76" t="str">
        <x:f>IF(AND(B21&gt;=12,P21&gt;=1),"P0",IF(AND(B21&gt;=8,NOT(AND(M21&lt;=1,P21=0))),"P1","P2"))</x:f>
        <x:v>P2</x:v>
      </x:c>
      <x:c r="B21" s="76" t="n">
        <x:f>SUM(K21:Q21)</x:f>
        <x:v>8</x:v>
      </x:c>
      <x:c r="C21" s="78" t="str">
        <x:v>AndroidWorld</x:v>
      </x:c>
      <x:c r="D21" s="78" t="str">
        <x:v>Parameterized mobile benchmark</x:v>
      </x:c>
      <x:c r="E21" s="78" t="str">
        <x:v>无直接本地场景</x:v>
      </x:c>
      <x:c r="F21" s="78" t="str">
        <x:v>Android 模拟器</x:v>
      </x:c>
      <x:c r="G21" s="78" t="str">
        <x:v>touch / text / app</x:v>
      </x:c>
      <x:c r="H21" s="78" t="str">
        <x:v>单 app、确定性 setup/teardown 子集</x:v>
      </x:c>
      <x:c r="I21" s="78" t="str">
        <x:v>setup/success/teardown</x:v>
      </x:c>
      <x:c r="J21" s="78" t="str">
        <x:v>模拟器重置</x:v>
      </x:c>
      <x:c r="K21" s="76" t="n">
        <x:v>1</x:v>
      </x:c>
      <x:c r="L21" s="76" t="n">
        <x:v>2</x:v>
      </x:c>
      <x:c r="M21" s="76" t="n">
        <x:v>1</x:v>
      </x:c>
      <x:c r="N21" s="76" t="n">
        <x:v>2</x:v>
      </x:c>
      <x:c r="O21" s="76" t="n">
        <x:v>2</x:v>
      </x:c>
      <x:c r="P21" s="76" t="n">
        <x:v>0</x:v>
      </x:c>
      <x:c r="Q21" s="76" t="n">
        <x:v>0</x:v>
      </x:c>
      <x:c r="R21" s="78" t="str">
        <x:v>任务参数化值得借鉴，但设备运行时不进入第一轮实验。</x:v>
      </x:c>
      <x:c r="S21" s="77" t="str">
        <x:v>S15</x:v>
      </x:c>
    </x:row>
    <x:row r="22" ht="44" customHeight="1">
      <x:c r="A22" s="76" t="str">
        <x:f>IF(AND(B22&gt;=12,P22&gt;=1),"P0",IF(AND(B22&gt;=8,NOT(AND(M22&lt;=1,P22=0))),"P1","P2"))</x:f>
        <x:v>P2</x:v>
      </x:c>
      <x:c r="B22" s="76" t="n">
        <x:f>SUM(K22:Q22)</x:f>
        <x:v>8</x:v>
      </x:c>
      <x:c r="C22" s="78" t="str">
        <x:v>OSWorld 2.1</x:v>
      </x:c>
      <x:c r="D22" s="78" t="str">
        <x:v>Desktop stress test</x:v>
      </x:c>
      <x:c r="E22" s="78" t="str">
        <x:v>04/05 的真实 GUI 迁移</x:v>
      </x:c>
      <x:c r="F22" s="78" t="str">
        <x:v>桌面 OS</x:v>
      </x:c>
      <x:c r="G22" s="78" t="str">
        <x:v>GUI / accessibility</x:v>
      </x:c>
      <x:c r="H22" s="78" t="str">
        <x:v>最后接入少量无账号任务</x:v>
      </x:c>
      <x:c r="I22" s="78" t="str">
        <x:v>任务级执行式 evaluator</x:v>
      </x:c>
      <x:c r="J22" s="78" t="str">
        <x:v>VM/镜像恢复</x:v>
      </x:c>
      <x:c r="K22" s="76" t="n">
        <x:v>1</x:v>
      </x:c>
      <x:c r="L22" s="76" t="n">
        <x:v>2</x:v>
      </x:c>
      <x:c r="M22" s="76" t="n">
        <x:v>1</x:v>
      </x:c>
      <x:c r="N22" s="76" t="n">
        <x:v>2</x:v>
      </x:c>
      <x:c r="O22" s="76" t="n">
        <x:v>2</x:v>
      </x:c>
      <x:c r="P22" s="76" t="n">
        <x:v>0</x:v>
      </x:c>
      <x:c r="Q22" s="76" t="n">
        <x:v>0</x:v>
      </x:c>
      <x:c r="R22" s="78" t="str">
        <x:v>高成本、reset 噪声大；只用于成熟系统的外部有效性。</x:v>
      </x:c>
      <x:c r="S22" s="77" t="str">
        <x:v>S14</x:v>
      </x:c>
    </x:row>
    <x:row r="23" ht="44" customHeight="1">
      <x:c r="A23" s="76" t="str">
        <x:f>IF(AND(B23&gt;=12,P23&gt;=1),"P0",IF(AND(B23&gt;=8,NOT(AND(M23&lt;=1,P23=0))),"P1","P2"))</x:f>
        <x:v>P2</x:v>
      </x:c>
      <x:c r="B23" s="76" t="n">
        <x:f>SUM(K23:Q23)</x:f>
        <x:v>7</x:v>
      </x:c>
      <x:c r="C23" s="78" t="str">
        <x:v>OfficeQA</x:v>
      </x:c>
      <x:c r="D23" s="78" t="str">
        <x:v>Observation-only control</x:v>
      </x:c>
      <x:c r="E23" s="78" t="str">
        <x:v>Diagnostic/Contract 对照</x:v>
      </x:c>
      <x:c r="F23" s="78" t="str">
        <x:v>文档检索</x:v>
      </x:c>
      <x:c r="G23" s="78" t="str">
        <x:v>search / retrieval</x:v>
      </x:c>
      <x:c r="H23" s="78" t="str">
        <x:v>固定语料上的检索观察与预算实验</x:v>
      </x:c>
      <x:c r="I23" s="78" t="str">
        <x:v>EM/F1</x:v>
      </x:c>
      <x:c r="J23" s="78" t="str">
        <x:v>静态语料</x:v>
      </x:c>
      <x:c r="K23" s="76" t="n">
        <x:v>1</x:v>
      </x:c>
      <x:c r="L23" s="76" t="n">
        <x:v>1</x:v>
      </x:c>
      <x:c r="M23" s="76" t="n">
        <x:v>2</x:v>
      </x:c>
      <x:c r="N23" s="76" t="n">
        <x:v>0</x:v>
      </x:c>
      <x:c r="O23" s="76" t="n">
        <x:v>1</x:v>
      </x:c>
      <x:c r="P23" s="76" t="n">
        <x:v>2</x:v>
      </x:c>
      <x:c r="Q23" s="76" t="n">
        <x:v>0</x:v>
      </x:c>
      <x:c r="R23" s="78" t="str">
        <x:v>缺少交互状态，只用于证明观察辅助不等于完整环境演化。</x:v>
      </x:c>
      <x:c r="S23" s="77" t="str">
        <x:v>S10</x:v>
      </x:c>
    </x:row>
    <x:row r="24" ht="44" customHeight="1">
      <x:c r="A24" s="76" t="str">
        <x:f>IF(AND(B24&gt;=12,P24&gt;=1),"P0",IF(AND(B24&gt;=8,NOT(AND(M24&lt;=1,P24=0))),"P1","P2"))</x:f>
        <x:v>P2</x:v>
      </x:c>
      <x:c r="B24" s="76" t="n">
        <x:f>SUM(K24:Q24)</x:f>
        <x:v>6</x:v>
      </x:c>
      <x:c r="C24" s="78" t="str">
        <x:v>SkillsBench</x:v>
      </x:c>
      <x:c r="D24" s="78" t="str">
        <x:v>Skill transfer evaluation</x:v>
      </x:c>
      <x:c r="E24" s="78" t="str">
        <x:v>JSON skill 加载链路</x:v>
      </x:c>
      <x:c r="F24" s="78" t="str">
        <x:v>工具/文件任务</x:v>
      </x:c>
      <x:c r="G24" s="78" t="str">
        <x:v>task-specific tools</x:v>
      </x:c>
      <x:c r="H24" s="78" t="str">
        <x:v>评估环境轨迹生成 skill 的零样本迁移</x:v>
      </x:c>
      <x:c r="I24" s="78" t="str">
        <x:v>确定性 verifier</x:v>
      </x:c>
      <x:c r="J24" s="78" t="str">
        <x:v>任务隔离</x:v>
      </x:c>
      <x:c r="K24" s="76" t="n">
        <x:v>1</x:v>
      </x:c>
      <x:c r="L24" s="76" t="n">
        <x:v>2</x:v>
      </x:c>
      <x:c r="M24" s="76" t="n">
        <x:v>1</x:v>
      </x:c>
      <x:c r="N24" s="76" t="n">
        <x:v>0</x:v>
      </x:c>
      <x:c r="O24" s="76" t="n">
        <x:v>1</x:v>
      </x:c>
      <x:c r="P24" s="76" t="n">
        <x:v>1</x:v>
      </x:c>
      <x:c r="Q24" s="76" t="n">
        <x:v>0</x:v>
      </x:c>
      <x:c r="R24" s="78" t="str">
        <x:v>适合第二阶段评价 skill，不作为环境节点搜索底座。</x:v>
      </x:c>
      <x:c r="S24" s="77" t="str">
        <x:v>S22</x:v>
      </x:c>
    </x:row>
    <x:row r="25" ht="44" customHeight="1">
      <x:c r="A25" s="76" t="str">
        <x:f>IF(AND(B25&gt;=12,P25&gt;=1),"P0",IF(AND(B25&gt;=8,NOT(AND(M25&lt;=1,P25=0))),"P1","P2"))</x:f>
        <x:v>P2</x:v>
      </x:c>
      <x:c r="B25" s="76" t="n">
        <x:f>SUM(K25:Q25)</x:f>
        <x:v>7</x:v>
      </x:c>
      <x:c r="C25" s="78" t="str">
        <x:v>LiveCodeBench</x:v>
      </x:c>
      <x:c r="D25" s="78" t="str">
        <x:v>Fresh-code control</x:v>
      </x:c>
      <x:c r="E25" s="78" t="str">
        <x:v>05 code repair 的污染对照</x:v>
      </x:c>
      <x:c r="F25" s="78" t="str">
        <x:v>代码题</x:v>
      </x:c>
      <x:c r="G25" s="78" t="str">
        <x:v>code submission</x:v>
      </x:c>
      <x:c r="H25" s="78" t="str">
        <x:v>只测新鲜代码能力，不做环境 DAG</x:v>
      </x:c>
      <x:c r="I25" s="78" t="str">
        <x:v>隐藏测试</x:v>
      </x:c>
      <x:c r="J25" s="78" t="str">
        <x:v>无状态任务</x:v>
      </x:c>
      <x:c r="K25" s="76" t="n">
        <x:v>0</x:v>
      </x:c>
      <x:c r="L25" s="76" t="n">
        <x:v>2</x:v>
      </x:c>
      <x:c r="M25" s="76" t="n">
        <x:v>2</x:v>
      </x:c>
      <x:c r="N25" s="76" t="n">
        <x:v>0</x:v>
      </x:c>
      <x:c r="O25" s="76" t="n">
        <x:v>1</x:v>
      </x:c>
      <x:c r="P25" s="76" t="n">
        <x:v>2</x:v>
      </x:c>
      <x:c r="Q25" s="76" t="n">
        <x:v>0</x:v>
      </x:c>
      <x:c r="R25" s="78" t="str">
        <x:v>可控制污染，但缺少多轮状态和可修改环境边界。</x:v>
      </x:c>
      <x:c r="S25" s="77" t="str">
        <x:v>S33</x:v>
      </x:c>
    </x:row>
    <x:row r="26" ht="44" customHeight="1">
      <x:c r="A26" s="76" t="str">
        <x:f>IF(AND(B26&gt;=12,P26&gt;=1),"P0",IF(AND(B26&gt;=8,NOT(AND(M26&lt;=1,P26=0))),"P1","P2"))</x:f>
        <x:v>P2</x:v>
      </x:c>
      <x:c r="B26" s="76" t="n">
        <x:f>SUM(K26:Q26)</x:f>
        <x:v>7</x:v>
      </x:c>
      <x:c r="C26" s="78" t="str">
        <x:v>Polyglot</x:v>
      </x:c>
      <x:c r="D26" s="78" t="str">
        <x:v>Agent-RSI comparison</x:v>
      </x:c>
      <x:c r="E26" s="78" t="str">
        <x:v>05 code repair</x:v>
      </x:c>
      <x:c r="F26" s="78" t="str">
        <x:v>多语言代码修复</x:v>
      </x:c>
      <x:c r="G26" s="78" t="str">
        <x:v>shell + file tools</x:v>
      </x:c>
      <x:c r="H26" s="78" t="str">
        <x:v>比较 Agent 自进化与环境辅助</x:v>
      </x:c>
      <x:c r="I26" s="78" t="str">
        <x:v>测试</x:v>
      </x:c>
      <x:c r="J26" s="78" t="str">
        <x:v>任务隔离</x:v>
      </x:c>
      <x:c r="K26" s="76" t="n">
        <x:v>1</x:v>
      </x:c>
      <x:c r="L26" s="76" t="n">
        <x:v>2</x:v>
      </x:c>
      <x:c r="M26" s="76" t="n">
        <x:v>1</x:v>
      </x:c>
      <x:c r="N26" s="76" t="n">
        <x:v>0</x:v>
      </x:c>
      <x:c r="O26" s="76" t="n">
        <x:v>1</x:v>
      </x:c>
      <x:c r="P26" s="76" t="n">
        <x:v>1</x:v>
      </x:c>
      <x:c r="Q26" s="76" t="n">
        <x:v>1</x:v>
      </x:c>
      <x:c r="R26" s="78" t="str">
        <x:v>保留为 Agent RSI 对照，不进入首轮环境搜索。</x:v>
      </x:c>
      <x:c r="S26" s="77" t="str">
        <x:v>S19</x:v>
      </x:c>
    </x:row>
    <x:row r="27" ht="44" customHeight="1">
      <x:c r="A27" s="76" t="str">
        <x:f>IF(AND(B27&gt;=12,P27&gt;=1),"P0",IF(AND(B27&gt;=8,NOT(AND(M27&lt;=1,P27=0))),"P1","P2"))</x:f>
        <x:v>P2</x:v>
      </x:c>
      <x:c r="B27" s="76" t="n">
        <x:f>SUM(K27:Q27)</x:f>
        <x:v>6</x:v>
      </x:c>
      <x:c r="C27" s="78" t="str">
        <x:v>AgentBench</x:v>
      </x:c>
      <x:c r="D27" s="78" t="str">
        <x:v>Broad late evaluation</x:v>
      </x:c>
      <x:c r="E27" s="78" t="str">
        <x:v>统一 Agent 接口</x:v>
      </x:c>
      <x:c r="F27" s="78" t="str">
        <x:v>八类交互环境</x:v>
      </x:c>
      <x:c r="G27" s="78" t="str">
        <x:v>environment-specific</x:v>
      </x:c>
      <x:c r="H27" s="78" t="str">
        <x:v>只在 adapter 稳定后做泛化评测</x:v>
      </x:c>
      <x:c r="I27" s="78" t="str">
        <x:v>子环境原生指标</x:v>
      </x:c>
      <x:c r="J27" s="78" t="str">
        <x:v>各子环境不同</x:v>
      </x:c>
      <x:c r="K27" s="76" t="n">
        <x:v>1</x:v>
      </x:c>
      <x:c r="L27" s="76" t="n">
        <x:v>1</x:v>
      </x:c>
      <x:c r="M27" s="76" t="n">
        <x:v>1</x:v>
      </x:c>
      <x:c r="N27" s="76" t="n">
        <x:v>1</x:v>
      </x:c>
      <x:c r="O27" s="76" t="n">
        <x:v>1</x:v>
      </x:c>
      <x:c r="P27" s="76" t="n">
        <x:v>1</x:v>
      </x:c>
      <x:c r="Q27" s="76" t="n">
        <x:v>0</x:v>
      </x:c>
      <x:c r="R27" s="78" t="str">
        <x:v>覆盖广但无法共享一致快照与 mutation surface。</x:v>
      </x:c>
      <x:c r="S27" s="77" t="str">
        <x:v>S12</x:v>
      </x:c>
    </x:row>
    <x:row r="28" ht="44" customHeight="1">
      <x:c r="A28" s="76" t="str">
        <x:f>IF(AND(B28&gt;=12,P28&gt;=1),"P0",IF(AND(B28&gt;=8,NOT(AND(M28&lt;=1,P28=0))),"P1","P2"))</x:f>
        <x:v>P2</x:v>
      </x:c>
      <x:c r="B28" s="76" t="n">
        <x:f>SUM(K28:Q28)</x:f>
        <x:v>6</x:v>
      </x:c>
      <x:c r="C28" s="78" t="str">
        <x:v>AgentBoard</x:v>
      </x:c>
      <x:c r="D28" s="78" t="str">
        <x:v>Diagnostic metric reference</x:v>
      </x:c>
      <x:c r="E28" s="78" t="str">
        <x:v>Diagnostic Agent</x:v>
      </x:c>
      <x:c r="F28" s="78" t="str">
        <x:v>多 benchmark 评测层</x:v>
      </x:c>
      <x:c r="G28" s="78" t="str">
        <x:v>evaluation adapters</x:v>
      </x:c>
      <x:c r="H28" s="78" t="str">
        <x:v>借鉴 progress rate，不接为环境</x:v>
      </x:c>
      <x:c r="I28" s="78" t="str">
        <x:v>终局 + progress rate</x:v>
      </x:c>
      <x:c r="J28" s="78" t="str">
        <x:v>依赖底层环境</x:v>
      </x:c>
      <x:c r="K28" s="76" t="n">
        <x:v>0</x:v>
      </x:c>
      <x:c r="L28" s="76" t="n">
        <x:v>1</x:v>
      </x:c>
      <x:c r="M28" s="76" t="n">
        <x:v>1</x:v>
      </x:c>
      <x:c r="N28" s="76" t="n">
        <x:v>0</x:v>
      </x:c>
      <x:c r="O28" s="76" t="n">
        <x:v>2</x:v>
      </x:c>
      <x:c r="P28" s="76" t="n">
        <x:v>2</x:v>
      </x:c>
      <x:c r="Q28" s="76" t="n">
        <x:v>0</x:v>
      </x:c>
      <x:c r="R28" s="78" t="str">
        <x:v>用于设计过程指标，而不是生成环境节点。</x:v>
      </x:c>
      <x:c r="S28" s="77" t="str">
        <x:v>S13</x:v>
      </x:c>
    </x:row>
    <x:row r="29" ht="44" customHeight="1">
      <x:c r="A29" s="76" t="str">
        <x:f>IF(AND(B29&gt;=12,P29&gt;=1),"P0",IF(AND(B29&gt;=8,NOT(AND(M29&lt;=1,P29=0))),"P1","P2"))</x:f>
        <x:v>P2</x:v>
      </x:c>
      <x:c r="B29" s="76" t="n">
        <x:f>SUM(K29:Q29)</x:f>
        <x:v>7</x:v>
      </x:c>
      <x:c r="C29" s="78" t="str">
        <x:v>Procgen</x:v>
      </x:c>
      <x:c r="D29" s="78" t="str">
        <x:v>Procedural control reference</x:v>
      </x:c>
      <x:c r="E29" s="78" t="str">
        <x:v>无直接本地场景</x:v>
      </x:c>
      <x:c r="F29" s="78" t="str">
        <x:v>程序化游戏</x:v>
      </x:c>
      <x:c r="G29" s="78" t="str">
        <x:v>discrete control</x:v>
      </x:c>
      <x:c r="H29" s="78" t="str">
        <x:v>只作为随机课程基线参考</x:v>
      </x:c>
      <x:c r="I29" s="78" t="str">
        <x:v>游戏回报</x:v>
      </x:c>
      <x:c r="J29" s="78" t="str">
        <x:v>seed reset</x:v>
      </x:c>
      <x:c r="K29" s="76" t="n">
        <x:v>0</x:v>
      </x:c>
      <x:c r="L29" s="76" t="n">
        <x:v>1</x:v>
      </x:c>
      <x:c r="M29" s="76" t="n">
        <x:v>2</x:v>
      </x:c>
      <x:c r="N29" s="76" t="n">
        <x:v>1</x:v>
      </x:c>
      <x:c r="O29" s="76" t="n">
        <x:v>1</x:v>
      </x:c>
      <x:c r="P29" s="76" t="n">
        <x:v>2</x:v>
      </x:c>
      <x:c r="Q29" s="76" t="n">
        <x:v>0</x:v>
      </x:c>
      <x:c r="R29" s="78" t="str">
        <x:v>吞吐高但与工具 Agent 的 action/side effect 语义不同。</x:v>
      </x:c>
      <x:c r="S29" s="77" t="str">
        <x:v>S25</x:v>
      </x:c>
    </x:row>
    <x:row r="30" ht="44" customHeight="1">
      <x:c r="A30" s="76" t="str">
        <x:f>IF(AND(B30&gt;=12,P30&gt;=1),"P0",IF(AND(B30&gt;=8,NOT(AND(M30&lt;=1,P30=0))),"P1","P2"))</x:f>
        <x:v>P2</x:v>
      </x:c>
      <x:c r="B30" s="76" t="n">
        <x:f>SUM(K30:Q30)</x:f>
        <x:v>6</x:v>
      </x:c>
      <x:c r="C30" s="78" t="str">
        <x:v>PAIRED testbeds</x:v>
      </x:c>
      <x:c r="D30" s="78" t="str">
        <x:v>UED theory reference</x:v>
      </x:c>
      <x:c r="E30" s="78" t="str">
        <x:v>Diagnostic→candidate 的理论对照</x:v>
      </x:c>
      <x:c r="F30" s="78" t="str">
        <x:v>迷宫/控制</x:v>
      </x:c>
      <x:c r="G30" s="78" t="str">
        <x:v>teacher + agents</x:v>
      </x:c>
      <x:c r="H30" s="78" t="str">
        <x:v>不进入主 benchmark 运行矩阵</x:v>
      </x:c>
      <x:c r="I30" s="78" t="str">
        <x:v>回报 + regret</x:v>
      </x:c>
      <x:c r="J30" s="78" t="str">
        <x:v>程序化重置</x:v>
      </x:c>
      <x:c r="K30" s="76" t="n">
        <x:v>0</x:v>
      </x:c>
      <x:c r="L30" s="76" t="n">
        <x:v>1</x:v>
      </x:c>
      <x:c r="M30" s="76" t="n">
        <x:v>2</x:v>
      </x:c>
      <x:c r="N30" s="76" t="n">
        <x:v>1</x:v>
      </x:c>
      <x:c r="O30" s="76" t="n">
        <x:v>1</x:v>
      </x:c>
      <x:c r="P30" s="76" t="n">
        <x:v>1</x:v>
      </x:c>
      <x:c r="Q30" s="76" t="n">
        <x:v>0</x:v>
      </x:c>
      <x:c r="R30" s="78" t="str">
        <x:v>借鉴困难但可解的 selection signal，不复刻三方训练。</x:v>
      </x:c>
      <x:c r="S30" s="77" t="str">
        <x:v>S23</x:v>
      </x:c>
    </x:row>
    <x:row r="31" ht="44" customHeight="1">
      <x:c r="A31" s="76" t="str">
        <x:f>IF(AND(B31&gt;=12,P31&gt;=1),"P0",IF(AND(B31&gt;=8,NOT(AND(M31&lt;=1,P31=0))),"P1","P2"))</x:f>
        <x:v>P2</x:v>
      </x:c>
      <x:c r="B31" s="76" t="n">
        <x:f>SUM(K31:Q31)</x:f>
        <x:v>6</x:v>
      </x:c>
      <x:c r="C31" s="78" t="str">
        <x:v>ACCEL testbeds</x:v>
      </x:c>
      <x:c r="D31" s="78" t="str">
        <x:v>Search theory reference</x:v>
      </x:c>
      <x:c r="E31" s="78" t="str">
        <x:v>MutationSpec + EnvironmentDAG</x:v>
      </x:c>
      <x:c r="F31" s="78" t="str">
        <x:v>MiniGrid/控制</x:v>
      </x:c>
      <x:c r="G31" s="78" t="str">
        <x:v>level editor</x:v>
      </x:c>
      <x:c r="H31" s="78" t="str">
        <x:v>用于定义局部变异基线</x:v>
      </x:c>
      <x:c r="I31" s="78" t="str">
        <x:v>regret / reward</x:v>
      </x:c>
      <x:c r="J31" s="78" t="str">
        <x:v>程序化重置</x:v>
      </x:c>
      <x:c r="K31" s="76" t="n">
        <x:v>0</x:v>
      </x:c>
      <x:c r="L31" s="76" t="n">
        <x:v>1</x:v>
      </x:c>
      <x:c r="M31" s="76" t="n">
        <x:v>2</x:v>
      </x:c>
      <x:c r="N31" s="76" t="n">
        <x:v>1</x:v>
      </x:c>
      <x:c r="O31" s="76" t="n">
        <x:v>1</x:v>
      </x:c>
      <x:c r="P31" s="76" t="n">
        <x:v>1</x:v>
      </x:c>
      <x:c r="Q31" s="76" t="n">
        <x:v>0</x:v>
      </x:c>
      <x:c r="R31" s="78" t="str">
        <x:v>最接近局部编辑思想，但原 level 编码不能直接迁移到工具环境。</x:v>
      </x:c>
      <x:c r="S31" s="77" t="str">
        <x:v>S24</x:v>
      </x:c>
    </x:row>
    <x:row r="32" ht="44" customHeight="1">
      <x:c r="A32" s="76" t="str">
        <x:f>IF(AND(B32&gt;=12,P32&gt;=1),"P0",IF(AND(B32&gt;=8,NOT(AND(M32&lt;=1,P32=0))),"P1","P2"))</x:f>
        <x:v>P2</x:v>
      </x:c>
      <x:c r="B32" s="76" t="n">
        <x:f>SUM(K32:Q32)</x:f>
        <x:v>5</x:v>
      </x:c>
      <x:c r="C32" s="78" t="str">
        <x:v>Factorio</x:v>
      </x:c>
      <x:c r="D32" s="78" t="str">
        <x:v>Long-horizon reference</x:v>
      </x:c>
      <x:c r="E32" s="78" t="str">
        <x:v>无直接本地场景</x:v>
      </x:c>
      <x:c r="F32" s="78" t="str">
        <x:v>开放式游戏</x:v>
      </x:c>
      <x:c r="G32" s="78" t="str">
        <x:v>game API / code</x:v>
      </x:c>
      <x:c r="H32" s="78" t="str">
        <x:v>仅保留为长期性参考</x:v>
      </x:c>
      <x:c r="I32" s="78" t="str">
        <x:v>进度指标</x:v>
      </x:c>
      <x:c r="J32" s="78" t="str">
        <x:v>世界存档</x:v>
      </x:c>
      <x:c r="K32" s="76" t="n">
        <x:v>1</x:v>
      </x:c>
      <x:c r="L32" s="76" t="n">
        <x:v>1</x:v>
      </x:c>
      <x:c r="M32" s="76" t="n">
        <x:v>1</x:v>
      </x:c>
      <x:c r="N32" s="76" t="n">
        <x:v>1</x:v>
      </x:c>
      <x:c r="O32" s="76" t="n">
        <x:v>1</x:v>
      </x:c>
      <x:c r="P32" s="76" t="n">
        <x:v>0</x:v>
      </x:c>
      <x:c r="Q32" s="76" t="n">
        <x:v>0</x:v>
      </x:c>
      <x:c r="R32" s="78" t="str">
        <x:v>任务长且 verifier 较弱，不适合快速环境候选验证。</x:v>
      </x:c>
      <x:c r="S32" s="77" t="str">
        <x:v>S18</x:v>
      </x:c>
    </x:row>
    <x:row r="33" ht="44" customHeight="1">
      <x:c r="A33" s="76" t="str">
        <x:f>IF(AND(B33&gt;=12,P33&gt;=1),"P0",IF(AND(B33&gt;=8,NOT(AND(M33&lt;=1,P33=0))),"P1","P2"))</x:f>
        <x:v>P2</x:v>
      </x:c>
      <x:c r="B33" s="76" t="n">
        <x:f>SUM(K33:Q33)</x:f>
        <x:v>5</x:v>
      </x:c>
      <x:c r="C33" s="78" t="str">
        <x:v>POET BipedalWalker</x:v>
      </x:c>
      <x:c r="D33" s="78" t="str">
        <x:v>Archive theory reference</x:v>
      </x:c>
      <x:c r="E33" s="78" t="str">
        <x:v>EnvironmentDAG</x:v>
      </x:c>
      <x:c r="F33" s="78" t="str">
        <x:v>连续控制</x:v>
      </x:c>
      <x:c r="G33" s="78" t="str">
        <x:v>continuous control</x:v>
      </x:c>
      <x:c r="H33" s="78" t="str">
        <x:v>只借鉴档案与迁移</x:v>
      </x:c>
      <x:c r="I33" s="78" t="str">
        <x:v>回报 + minimal criterion</x:v>
      </x:c>
      <x:c r="J33" s="78" t="str">
        <x:v>程序化重置</x:v>
      </x:c>
      <x:c r="K33" s="76" t="n">
        <x:v>0</x:v>
      </x:c>
      <x:c r="L33" s="76" t="n">
        <x:v>1</x:v>
      </x:c>
      <x:c r="M33" s="76" t="n">
        <x:v>2</x:v>
      </x:c>
      <x:c r="N33" s="76" t="n">
        <x:v>1</x:v>
      </x:c>
      <x:c r="O33" s="76" t="n">
        <x:v>1</x:v>
      </x:c>
      <x:c r="P33" s="76" t="n">
        <x:v>0</x:v>
      </x:c>
      <x:c r="Q33" s="76" t="n">
        <x:v>0</x:v>
      </x:c>
      <x:c r="R33" s="78" t="str">
        <x:v>环境—策略配对计算昂贵且域特定。</x:v>
      </x:c>
      <x:c r="S33" s="77" t="str">
        <x:v>S26</x:v>
      </x:c>
    </x:row>
    <x:row r="34" ht="44" customHeight="1">
      <x:c r="A34" s="76" t="str">
        <x:f>IF(AND(B34&gt;=12,P34&gt;=1),"P0",IF(AND(B34&gt;=8,NOT(AND(M34&lt;=1,P34=0))),"P1","P2"))</x:f>
        <x:v>P2</x:v>
      </x:c>
      <x:c r="B34" s="76" t="n">
        <x:f>SUM(K34:Q34)</x:f>
        <x:v>4</x:v>
      </x:c>
      <x:c r="C34" s="78" t="str">
        <x:v>OMNI-EPIC</x:v>
      </x:c>
      <x:c r="D34" s="78" t="str">
        <x:v>Open-ended future work</x:v>
      </x:c>
      <x:c r="E34" s="78" t="str">
        <x:v>MutationSpec 的开放式上界</x:v>
      </x:c>
      <x:c r="F34" s="78" t="str">
        <x:v>生成物理环境</x:v>
      </x:c>
      <x:c r="G34" s="78" t="str">
        <x:v>generated simulator</x:v>
      </x:c>
      <x:c r="H34" s="78" t="str">
        <x:v>不进入当前路线</x:v>
      </x:c>
      <x:c r="I34" s="78" t="str">
        <x:v>生成奖励 + Agent 表现</x:v>
      </x:c>
      <x:c r="J34" s="78" t="str">
        <x:v>仿真重置</x:v>
      </x:c>
      <x:c r="K34" s="76" t="n">
        <x:v>0</x:v>
      </x:c>
      <x:c r="L34" s="76" t="n">
        <x:v>0</x:v>
      </x:c>
      <x:c r="M34" s="76" t="n">
        <x:v>2</x:v>
      </x:c>
      <x:c r="N34" s="76" t="n">
        <x:v>1</x:v>
      </x:c>
      <x:c r="O34" s="76" t="n">
        <x:v>1</x:v>
      </x:c>
      <x:c r="P34" s="76" t="n">
        <x:v>0</x:v>
      </x:c>
      <x:c r="Q34" s="76" t="n">
        <x:v>0</x:v>
      </x:c>
      <x:c r="R34" s="78" t="str">
        <x:v>任意代码与奖励生成会破坏 verifier 不变性和安全边界。</x:v>
      </x:c>
      <x:c r="S34" s="77" t="str">
        <x:v>S27</x:v>
      </x:c>
    </x:row>
    <x:row r="35" ht="44" customHeight="1">
      <x:c r="A35" s="76" t="str">
        <x:f>IF(AND(B35&gt;=12,P35&gt;=1),"P0",IF(AND(B35&gt;=8,NOT(AND(M35&lt;=1,P35=0))),"P1","P2"))</x:f>
        <x:v>P2</x:v>
      </x:c>
      <x:c r="B35" s="76" t="n">
        <x:f>SUM(K35:Q35)</x:f>
        <x:v>3</x:v>
      </x:c>
      <x:c r="C35" s="78" t="str">
        <x:v>Pokémon Red / Emerald</x:v>
      </x:c>
      <x:c r="D35" s="78" t="str">
        <x:v>Continual-harness contrast</x:v>
      </x:c>
      <x:c r="E35" s="78" t="str">
        <x:v>无重置对照</x:v>
      </x:c>
      <x:c r="F35" s="78" t="str">
        <x:v>长程游戏模拟器</x:v>
      </x:c>
      <x:c r="G35" s="78" t="str">
        <x:v>controller actions</x:v>
      </x:c>
      <x:c r="H35" s="78" t="str">
        <x:v>不进入当前路线</x:v>
      </x:c>
      <x:c r="I35" s="78" t="str">
        <x:v>里程碑/进度</x:v>
      </x:c>
      <x:c r="J35" s="78" t="str">
        <x:v>刻意不重置</x:v>
      </x:c>
      <x:c r="K35" s="76" t="n">
        <x:v>0</x:v>
      </x:c>
      <x:c r="L35" s="76" t="n">
        <x:v>1</x:v>
      </x:c>
      <x:c r="M35" s="76" t="n">
        <x:v>0</x:v>
      </x:c>
      <x:c r="N35" s="76" t="n">
        <x:v>1</x:v>
      </x:c>
      <x:c r="O35" s="76" t="n">
        <x:v>1</x:v>
      </x:c>
      <x:c r="P35" s="76" t="n">
        <x:v>0</x:v>
      </x:c>
      <x:c r="Q35" s="76" t="n">
        <x:v>0</x:v>
      </x:c>
      <x:c r="R35" s="78" t="str">
        <x:v>与本项目依赖可重置环境节点和父节点回测的设计冲突。</x:v>
      </x:c>
      <x:c r="S35" s="77" t="str">
        <x:v>S17</x:v>
      </x:c>
    </x:row>
  </x:sheetData>
  <x:conditionalFormatting sqref="A8:A33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conditionalFormatting sqref="A8:A35">
    <x:cfRule type="containsText" dxfId="3" priority="4" operator="containsText" text="P0"/>
    <x:cfRule type="containsText" dxfId="4" priority="5" operator="containsText" text="P1"/>
    <x:cfRule type="containsText" dxfId="5" priority="6" operator="containsText" text="P2"/>
  </x:conditionalFormatting>
  <x:conditionalFormatting sqref="B8:B35">
    <x:cfRule type="colorScale" priority="7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37da52262cb4d40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36" hidden="0" customWidth="1"/>
    <x:col min="3" max="3" width="31" hidden="0" customWidth="1"/>
    <x:col min="4" max="4" width="31" hidden="0" customWidth="1"/>
    <x:col min="5" max="5" width="32" hidden="0" customWidth="1"/>
    <x:col min="6" max="6" width="35" hidden="0" customWidth="1"/>
    <x:col min="7" max="7" width="37" hidden="0" customWidth="1"/>
    <x:col min="8" max="8" width="10" hidden="0" customWidth="1"/>
  </x:cols>
  <x:sheetData>
    <x:row r="2">
      <x:c r="A2" s="67" t="str">
        <x:v>Implemented environment-evolution method map</x:v>
      </x:c>
      <x:c r="B2" s="67"/>
      <x:c r="C2" s="67"/>
      <x:c r="D2" s="67"/>
      <x:c r="E2" s="67"/>
      <x:c r="F2" s="67"/>
      <x:c r="G2" s="67"/>
      <x:c r="H2" s="67"/>
    </x:row>
    <x:row r="3">
      <x:c r="A3" s="68"/>
      <x:c r="B3" s="68"/>
      <x:c r="C3" s="68"/>
      <x:c r="D3" s="68"/>
      <x:c r="E3" s="68"/>
      <x:c r="F3" s="68"/>
      <x:c r="G3" s="68"/>
      <x:c r="H3" s="68"/>
    </x:row>
    <x:row r="5" ht="30" customHeight="1">
      <x:c r="A5" s="85" t="str">
        <x:v>Component</x:v>
      </x:c>
      <x:c r="B5" s="85" t="str">
        <x:v>What changes</x:v>
      </x:c>
      <x:c r="C5" s="85" t="str">
        <x:v>Input / selection signal</x:v>
      </x:c>
      <x:c r="D5" s="85" t="str">
        <x:v>Verifier boundary</x:v>
      </x:c>
      <x:c r="E5" s="85" t="str">
        <x:v>Current status</x:v>
      </x:c>
      <x:c r="F5" s="85" t="str">
        <x:v>Immediate use</x:v>
      </x:c>
      <x:c r="G5" s="85" t="str">
        <x:v>Risk / control</x:v>
      </x:c>
      <x:c r="H5" s="85" t="str">
        <x:v>Source ID</x:v>
      </x:c>
    </x:row>
    <x:row r="6" ht="48" customHeight="1">
      <x:c r="A6" s="78" t="str">
        <x:v>BenchmarkAdapter</x:v>
      </x:c>
      <x:c r="B6" s="78" t="str">
        <x:v>把 native task/action/response 映射为 ActionableEnv，并公开 MutationSurface</x:v>
      </x:c>
      <x:c r="C6" s="78" t="str">
        <x:v>benchmark task + tool schema</x:v>
      </x:c>
      <x:c r="D6" s="78" t="str">
        <x:v>evaluate 委托原始 evaluator</x:v>
      </x:c>
      <x:c r="E6" s="78" t="str">
        <x:v>已实现</x:v>
      </x:c>
      <x:c r="F6" s="78" t="str">
        <x:v>所有外部 benchmark 的唯一接入口</x:v>
      </x:c>
      <x:c r="G6" s="78" t="str">
        <x:v>adapter 不得暴露 hidden state</x:v>
      </x:c>
      <x:c r="H6" s="78" t="str">
        <x:v>S00</x:v>
      </x:c>
    </x:row>
    <x:row r="7" ht="48" customHeight="1">
      <x:c r="A7" s="78" t="str">
        <x:v>Setup</x:v>
      </x:c>
      <x:c r="B7" s="78" t="str">
        <x:v>reset 后重放合法动作，构造可达初始状态</x:v>
      </x:c>
      <x:c r="C7" s="78" t="str">
        <x:v>诊断指出缺少前置状态</x:v>
      </x:c>
      <x:c r="D7" s="78" t="str">
        <x:v>保持原 verifier</x:v>
      </x:c>
      <x:c r="E7" s="78" t="str">
        <x:v>ReplaySetupRule 已实现</x:v>
      </x:c>
      <x:c r="F7" s="78" t="str">
        <x:v>任务前缀、认证、定位到中间状态</x:v>
      </x:c>
      <x:c r="G7" s="78" t="str">
        <x:v>动作序列过长时优先 checkpoint</x:v>
      </x:c>
      <x:c r="H7" s="78" t="str">
        <x:v>S01</x:v>
      </x:c>
    </x:row>
    <x:row r="8" ht="48" customHeight="1">
      <x:c r="A8" s="78" t="str">
        <x:v>Contract</x:v>
      </x:c>
      <x:c r="B8" s="78" t="str">
        <x:v>改变 Agent 可见工具 schema，并同步做执行前校验</x:v>
      </x:c>
      <x:c r="C8" s="78" t="str">
        <x:v>参数/工具选择错误</x:v>
      </x:c>
      <x:c r="D8" s="78" t="str">
        <x:v>保持原 verifier</x:v>
      </x:c>
      <x:c r="E8" s="78" t="str">
        <x:v>require_argument 已实现</x:v>
      </x:c>
      <x:c r="F8" s="78" t="str">
        <x:v>ID、确认 token、幂等键</x:v>
      </x:c>
      <x:c r="G8" s="78" t="str">
        <x:v>必须让 schema 与真实 guard 同源</x:v>
      </x:c>
      <x:c r="H8" s="78" t="str">
        <x:v>S01</x:v>
      </x:c>
    </x:row>
    <x:row r="9" ht="48" customHeight="1">
      <x:c r="A9" s="78" t="str">
        <x:v>Action f_A</x:v>
      </x:c>
      <x:c r="B9" s="78" t="str">
        <x:v>执行前阻止或改写 action</x:v>
      </x:c>
      <x:c r="C9" s="78" t="str">
        <x:v>不安全写、缺少前置条件</x:v>
      </x:c>
      <x:c r="D9" s="78" t="str">
        <x:v>保持原 verifier</x:v>
      </x:c>
      <x:c r="E9" s="78" t="str">
        <x:v>RequireArgumentRule 已实现</x:v>
      </x:c>
      <x:c r="F9" s="78" t="str">
        <x:v>隐藏 guard 对照实验</x:v>
      </x:c>
      <x:c r="G9" s="78" t="str">
        <x:v>隐藏规则可能制造不可解释失败</x:v>
      </x:c>
      <x:c r="H9" s="78" t="str">
        <x:v>S01</x:v>
      </x:c>
    </x:row>
    <x:row r="10" ht="48" customHeight="1">
      <x:c r="A10" s="78" t="str">
        <x:v>Transition f_T</x:v>
      </x:c>
      <x:c r="B10" s="78" t="str">
        <x:v>真实转移后改变返回或故障时序</x:v>
      </x:c>
      <x:c r="C10" s="78" t="str">
        <x:v>提交后超时、部分事务</x:v>
      </x:c>
      <x:c r="D10" s="78" t="str">
        <x:v>真实状态仍由原 verifier 读取</x:v>
      </x:c>
      <x:c r="E10" s="78" t="str">
        <x:v>PostCommitTimeoutRule 已实现</x:v>
      </x:c>
      <x:c r="F10" s="78" t="str">
        <x:v>重复调用与补偿实验</x:v>
      </x:c>
      <x:c r="G10" s="78" t="str">
        <x:v>必须记录 committed/state_changed</x:v>
      </x:c>
      <x:c r="H10" s="78" t="str">
        <x:v>S01</x:v>
      </x:c>
    </x:row>
    <x:row r="11" ht="48" customHeight="1">
      <x:c r="A11" s="78" t="str">
        <x:v>Observation f_O</x:v>
      </x:c>
      <x:c r="B11" s="78" t="str">
        <x:v>只改变 Agent 可见观察</x:v>
      </x:c>
      <x:c r="C11" s="78" t="str">
        <x:v>陈旧读、截断、错误信息不足</x:v>
      </x:c>
      <x:c r="D11" s="78" t="str">
        <x:v>不能改变 verifier 视图</x:v>
      </x:c>
      <x:c r="E11" s="78" t="str">
        <x:v>StaleReadAfterWriteRule 已实现</x:v>
      </x:c>
      <x:c r="F11" s="78" t="str">
        <x:v>读后确认、分页、日志截断</x:v>
      </x:c>
      <x:c r="G11" s="78" t="str">
        <x:v>避免泄露答案或隐藏状态</x:v>
      </x:c>
      <x:c r="H11" s="78" t="str">
        <x:v>S01</x:v>
      </x:c>
    </x:row>
    <x:row r="12" ht="48" customHeight="1">
      <x:c r="A12" s="78" t="str">
        <x:v>Budget</x:v>
      </x:c>
      <x:c r="B12" s="78" t="str">
        <x:v>限制 step、write 或其他资源</x:v>
      </x:c>
      <x:c r="C12" s="78" t="str">
        <x:v>无界重试或搜索</x:v>
      </x:c>
      <x:c r="D12" s="78" t="str">
        <x:v>预算耗尽只截断 episode</x:v>
      </x:c>
      <x:c r="E12" s="78" t="str">
        <x:v>StepBudgetRule 已实现</x:v>
      </x:c>
      <x:c r="F12" s="78" t="str">
        <x:v>统一成本与安全边界</x:v>
      </x:c>
      <x:c r="G12" s="78" t="str">
        <x:v>Setup 不得消耗正式预算</x:v>
      </x:c>
      <x:c r="H12" s="78" t="str">
        <x:v>S00</x:v>
      </x:c>
    </x:row>
    <x:row r="13" ht="48" customHeight="1">
      <x:c r="A13" s="78" t="str">
        <x:v>Target Agent</x:v>
      </x:c>
      <x:c r="B13" s="78" t="str">
        <x:v>从 JSON 加载 prompt/skill/provider，维护多轮工具上下文</x:v>
      </x:c>
      <x:c r="C13" s="78" t="str">
        <x:v>固定 Agent 配置</x:v>
      </x:c>
      <x:c r="D13" s="78" t="str">
        <x:v>只能读取 observation</x:v>
      </x:c>
      <x:c r="E13" s="78" t="str">
        <x:v>已实现</x:v>
      </x:c>
      <x:c r="F13" s="78" t="str">
        <x:v>冻结 Agent 比较环境节点</x:v>
      </x:c>
      <x:c r="G13" s="78" t="str">
        <x:v>环境实验中不可同时改 prompt/skill</x:v>
      </x:c>
      <x:c r="H13" s="78" t="str">
        <x:v>S00</x:v>
      </x:c>
    </x:row>
    <x:row r="14" ht="48" customHeight="1">
      <x:c r="A14" s="78" t="str">
        <x:v>Diagnostic Agent</x:v>
      </x:c>
      <x:c r="B14" s="78" t="str">
        <x:v>从 trace + evaluation 生成 FailureSignature 与候选变化</x:v>
      </x:c>
      <x:c r="C14" s="78" t="str">
        <x:v>稳定错误码、fault event、verifier metrics</x:v>
      </x:c>
      <x:c r="D14" s="78" t="str">
        <x:v>不能改 success 或 verifier</x:v>
      </x:c>
      <x:c r="E14" s="78" t="str">
        <x:v>模型诊断 + 确定性回退已实现</x:v>
      </x:c>
      <x:c r="F14" s="78" t="str">
        <x:v>决定先尝试哪个 mutation phase</x:v>
      </x:c>
      <x:c r="G14" s="78" t="str">
        <x:v>候选必须再过 surface/registry 校验</x:v>
      </x:c>
      <x:c r="H14" s="78" t="str">
        <x:v>S00</x:v>
      </x:c>
    </x:row>
    <x:row r="15" ht="48" customHeight="1">
      <x:c r="A15" s="78" t="str">
        <x:v>Environment DAG</x:v>
      </x:c>
      <x:c r="B15" s="78" t="str">
        <x:v>用内容哈希合并等价环境，边记录 MutationSpec</x:v>
      </x:c>
      <x:c r="C15" s="78" t="str">
        <x:v>环境 hash + evaluation</x:v>
      </x:c>
      <x:c r="D15" s="78" t="str">
        <x:v>每个节点复用同一 verifier</x:v>
      </x:c>
      <x:c r="E15" s="78" t="str">
        <x:v>多父节点 DAG 已实现</x:v>
      </x:c>
      <x:c r="F15" s="78" t="str">
        <x:v>避免不同变化顺序重复评估</x:v>
      </x:c>
      <x:c r="G15" s="78" t="str">
        <x:v>节点 hash 必须包含 config 与版本</x:v>
      </x:c>
      <x:c r="H15" s="78" t="str">
        <x:v>S00</x:v>
      </x:c>
    </x:row>
    <x:row r="16" ht="48" customHeight="1">
      <x:c r="A16" s="78" t="str">
        <x:v>PLR baseline</x:v>
      </x:c>
      <x:c r="B16" s="78" t="str">
        <x:v>优先重放最有学习潜力的已有节点</x:v>
      </x:c>
      <x:c r="C16" s="78" t="str">
        <x:v>失败率/学习进展</x:v>
      </x:c>
      <x:c r="D16" s="78" t="str">
        <x:v>复用节点原 verifier</x:v>
      </x:c>
      <x:c r="E16" s="78" t="str">
        <x:v>未实现</x:v>
      </x:c>
      <x:c r="F16" s="78" t="str">
        <x:v>环境搜索控制组</x:v>
      </x:c>
      <x:c r="G16" s="78" t="str">
        <x:v>不生成新节点，可能停在已有池</x:v>
      </x:c>
      <x:c r="H16" s="78" t="str">
        <x:v>S25</x:v>
      </x:c>
    </x:row>
    <x:row r="17" ht="48" customHeight="1">
      <x:c r="A17" s="78" t="str">
        <x:v>ACCEL-style local edit</x:v>
      </x:c>
      <x:c r="B17" s="78" t="str">
        <x:v>从已验证父节点做单一局部 MutationSpec</x:v>
      </x:c>
      <x:c r="C17" s="78" t="str">
        <x:v>parent failure + 子节点可解性</x:v>
      </x:c>
      <x:c r="D17" s="78" t="str">
        <x:v>父子保持同一 verifier</x:v>
      </x:c>
      <x:c r="E17" s="78" t="str">
        <x:v>数据结构已实现，搜索器未实现</x:v>
      </x:c>
      <x:c r="F17" s="78" t="str">
        <x:v>当前建议的首个搜索策略</x:v>
      </x:c>
      <x:c r="G17" s="78" t="str">
        <x:v>工具环境缺少天然 regret，需用通过率差替代</x:v>
      </x:c>
      <x:c r="H17" s="78" t="str">
        <x:v>S24</x:v>
      </x:c>
    </x:row>
    <x:row r="18" ht="48" customHeight="1">
      <x:c r="A18" s="78" t="str">
        <x:v>Evaluation / pruning</x:v>
      </x:c>
      <x:c r="B18" s="78" t="str">
        <x:v>baseline→child→parent retest；父节点成功后剪枝更易后代</x:v>
      </x:c>
      <x:c r="C18" s="78" t="str">
        <x:v>固定 Target 的多 seed 成功率与成本</x:v>
      </x:c>
      <x:c r="D18" s="78" t="str">
        <x:v>Oracle、snapshot、verifier hash 三道门禁</x:v>
      </x:c>
      <x:c r="E18" s="78" t="str">
        <x:v>协议已写入文档，runner 待实现</x:v>
      </x:c>
      <x:c r="F18" s="78" t="str">
        <x:v>形成可发表的环境辅助因果对比</x:v>
      </x:c>
      <x:c r="G18" s="78" t="str">
        <x:v>必须分开记录环境成功与 skill 迁移</x:v>
      </x:c>
      <x:c r="H18" s="78" t="str">
        <x:v>S00</x:v>
      </x:c>
    </x:row>
  </x:sheetData>
  <x:pageMargins left="0.7" right="0.7" top="0.75" bottom="0.75" header="0.3" footer="0.3"/>
  <x:tableParts count="1">
    <x:tablePart xmlns:r="http://schemas.openxmlformats.org/officeDocument/2006/relationships" r:id="Rc2e1640148434e84"/>
  </x:tableParts>
</x:worksheet>
</file>

<file path=xl/worksheets/sheet3.xml><?xml version="1.0" encoding="utf-8"?>
<x:worksheet xmlns:x="http://schemas.openxmlformats.org/spreadsheetml/2006/main">
  <x:sheetPr>
    <x:tabColor rgb="FF44546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41" hidden="0" customWidth="1"/>
    <x:col min="3" max="3" width="10" hidden="0" customWidth="1"/>
    <x:col min="4" max="4" width="61" hidden="0" customWidth="1"/>
    <x:col min="5" max="5" width="62" hidden="0" customWidth="1"/>
  </x:cols>
  <x:sheetData>
    <x:row r="2">
      <x:c r="A2" s="67" t="str">
        <x:v>Primary sources</x:v>
      </x:c>
      <x:c r="B2" s="67"/>
      <x:c r="C2" s="67"/>
      <x:c r="D2" s="67"/>
      <x:c r="E2" s="67"/>
    </x:row>
    <x:row r="3">
      <x:c r="A3" s="68"/>
      <x:c r="B3" s="68"/>
      <x:c r="C3" s="68"/>
      <x:c r="D3" s="68"/>
      <x:c r="E3" s="68"/>
    </x:row>
    <x:row r="5" ht="28" customHeight="1">
      <x:c r="A5" s="90" t="str">
        <x:v>Source ID</x:v>
      </x:c>
      <x:c r="B5" s="90" t="str">
        <x:v>Work</x:v>
      </x:c>
      <x:c r="C5" s="90" t="str">
        <x:v>Year</x:v>
      </x:c>
      <x:c r="D5" s="90" t="str">
        <x:v>Primary URL</x:v>
      </x:c>
      <x:c r="E5" s="90" t="str">
        <x:v>Evidence used</x:v>
      </x:c>
    </x:row>
    <x:row r="6" ht="34" customHeight="1">
      <x:c r="A6" s="91" t="str">
        <x:v>S00</x:v>
      </x:c>
      <x:c r="B6" s="78" t="str">
        <x:v>Env-Agent-RSI project seed design</x:v>
      </x:c>
      <x:c r="C6" s="91" t="n">
        <x:v>2026</x:v>
      </x:c>
      <x:c r="D6" s="78" t="str">
        <x:v>https://github.com/mz1622/Env-Agent-rsi</x:v>
      </x:c>
      <x:c r="E6" s="78" t="str">
        <x:v>当前仓库的五个可执行场景、六阶段 Harness、Target/Diagnostic、adapter 与环境 DAG。</x:v>
      </x:c>
    </x:row>
    <x:row r="7" ht="34" customHeight="1">
      <x:c r="A7" s="91" t="str">
        <x:v>S01</x:v>
      </x:c>
      <x:c r="B7" s="78" t="str">
        <x:v>EnvHarness: Awakening Static Worlds for Agent Learning</x:v>
      </x:c>
      <x:c r="C7" s="91" t="n">
        <x:v>2026</x:v>
      </x:c>
      <x:c r="D7" s="78" t="str">
        <x:v>https://arxiv.org/abs/2608.19880</x:v>
      </x:c>
      <x:c r="E7" s="78" t="str">
        <x:v>Stage/Contract/Chain、五个 benchmark、EnvRigger 与限制。</x:v>
      </x:c>
    </x:row>
    <x:row r="8" ht="34" customHeight="1">
      <x:c r="A8" s="91" t="str">
        <x:v>S02</x:v>
      </x:c>
      <x:c r="B8" s="78" t="str">
        <x:v>google-research/envharness</x:v>
      </x:c>
      <x:c r="C8" s="91" t="n">
        <x:v>2026</x:v>
      </x:c>
      <x:c r="D8" s="78" t="str">
        <x:v>https://github.com/google-research/envharness</x:v>
      </x:c>
      <x:c r="E8" s="78" t="str">
        <x:v>当前代码中的 Setup/Rules/Link、toy24 与 Bridge 接口。</x:v>
      </x:c>
    </x:row>
    <x:row r="9" ht="34" customHeight="1">
      <x:c r="A9" s="91" t="str">
        <x:v>S03</x:v>
      </x:c>
      <x:c r="B9" s="78" t="str">
        <x:v>AppWorld</x:v>
      </x:c>
      <x:c r="C9" s="91" t="n">
        <x:v>2024</x:v>
      </x:c>
      <x:c r="D9" s="78" t="str">
        <x:v>https://arxiv.org/abs/2407.18901</x:v>
      </x:c>
      <x:c r="E9" s="78" t="str">
        <x:v>9 个应用、457 个 API、750 个任务与状态单测 evaluator。</x:v>
      </x:c>
    </x:row>
    <x:row r="10" ht="34" customHeight="1">
      <x:c r="A10" s="91" t="str">
        <x:v>S04</x:v>
      </x:c>
      <x:c r="B10" s="78" t="str">
        <x:v>τ-bench</x:v>
      </x:c>
      <x:c r="C10" s="91" t="n">
        <x:v>2024</x:v>
      </x:c>
      <x:c r="D10" s="78" t="str">
        <x:v>https://arxiv.org/abs/2406.12045</x:v>
      </x:c>
      <x:c r="E10" s="78" t="str">
        <x:v>工具-Agent-用户交互；终态数据库比较与 pass^k。</x:v>
      </x:c>
    </x:row>
    <x:row r="11" ht="34" customHeight="1">
      <x:c r="A11" s="91" t="str">
        <x:v>S05</x:v>
      </x:c>
      <x:c r="B11" s="78" t="str">
        <x:v>ALFWorld</x:v>
      </x:c>
      <x:c r="C11" s="91" t="n">
        <x:v>2020</x:v>
      </x:c>
      <x:c r="D11" s="78" t="str">
        <x:v>https://arxiv.org/abs/2010.03768</x:v>
      </x:c>
      <x:c r="E11" s="78" t="str">
        <x:v>文本具身环境；EnvHarness 的核心实验环境之一。</x:v>
      </x:c>
    </x:row>
    <x:row r="12" ht="34" customHeight="1">
      <x:c r="A12" s="91" t="str">
        <x:v>S06</x:v>
      </x:c>
      <x:c r="B12" s="78" t="str">
        <x:v>WebShop</x:v>
      </x:c>
      <x:c r="C12" s="91" t="n">
        <x:v>2022</x:v>
      </x:c>
      <x:c r="D12" s="78" t="str">
        <x:v>https://arxiv.org/abs/2207.01206</x:v>
      </x:c>
      <x:c r="E12" s="78" t="str">
        <x:v>模拟电商网站；EnvHarness 的 RL 分析环境。</x:v>
      </x:c>
    </x:row>
    <x:row r="13" ht="34" customHeight="1">
      <x:c r="A13" s="91" t="str">
        <x:v>S07</x:v>
      </x:c>
      <x:c r="B13" s="78" t="str">
        <x:v>WebArena</x:v>
      </x:c>
      <x:c r="C13" s="91" t="n">
        <x:v>2024</x:v>
      </x:c>
      <x:c r="D13" s="78" t="str">
        <x:v>https://webarena.dev/</x:v>
      </x:c>
      <x:c r="E13" s="78" t="str">
        <x:v>可执行网站环境与任务级 evaluator。</x:v>
      </x:c>
    </x:row>
    <x:row r="14" ht="34" customHeight="1">
      <x:c r="A14" s="91" t="str">
        <x:v>S08</x:v>
      </x:c>
      <x:c r="B14" s="78" t="str">
        <x:v>WorkArena and BrowserGym</x:v>
      </x:c>
      <x:c r="C14" s="91" t="n">
        <x:v>2024</x:v>
      </x:c>
      <x:c r="D14" s="78" t="str">
        <x:v>https://arxiv.org/abs/2403.07718</x:v>
      </x:c>
      <x:c r="E14" s="78" t="str">
        <x:v>ServiceNow 知识工作任务与 BrowserGym 环境。</x:v>
      </x:c>
    </x:row>
    <x:row r="15" ht="34" customHeight="1">
      <x:c r="A15" s="91" t="str">
        <x:v>S09</x:v>
      </x:c>
      <x:c r="B15" s="78" t="str">
        <x:v>SWE-bench</x:v>
      </x:c>
      <x:c r="C15" s="91" t="n">
        <x:v>2023</x:v>
      </x:c>
      <x:c r="D15" s="78" t="str">
        <x:v>https://arxiv.org/abs/2310.06770</x:v>
      </x:c>
      <x:c r="E15" s="78" t="str">
        <x:v>真实 GitHub issue、容器化代码库与测试验证。</x:v>
      </x:c>
    </x:row>
    <x:row r="16" ht="34" customHeight="1">
      <x:c r="A16" s="91" t="str">
        <x:v>S10</x:v>
      </x:c>
      <x:c r="B16" s="78" t="str">
        <x:v>OfficeQA</x:v>
      </x:c>
      <x:c r="C16" s="91" t="n">
        <x:v>2025</x:v>
      </x:c>
      <x:c r="D16" s="78" t="str">
        <x:v>https://github.com/databricks/officeqa</x:v>
      </x:c>
      <x:c r="E16" s="78" t="str">
        <x:v>面向真实财务文档的 grounded reasoning benchmark。</x:v>
      </x:c>
    </x:row>
    <x:row r="17" ht="34" customHeight="1">
      <x:c r="A17" s="91" t="str">
        <x:v>S11</x:v>
      </x:c>
      <x:c r="B17" s="78" t="str">
        <x:v>SpreadsheetBench</x:v>
      </x:c>
      <x:c r="C17" s="91" t="n">
        <x:v>2024</x:v>
      </x:c>
      <x:c r="D17" s="78" t="str">
        <x:v>https://spreadsheetbench.github.io/</x:v>
      </x:c>
      <x:c r="E17" s="78" t="str">
        <x:v>真实复杂电子表格操作与工作流评测。</x:v>
      </x:c>
    </x:row>
    <x:row r="18" ht="34" customHeight="1">
      <x:c r="A18" s="91" t="str">
        <x:v>S12</x:v>
      </x:c>
      <x:c r="B18" s="78" t="str">
        <x:v>AgentBench</x:v>
      </x:c>
      <x:c r="C18" s="91" t="n">
        <x:v>2023</x:v>
      </x:c>
      <x:c r="D18" s="78" t="str">
        <x:v>https://arxiv.org/abs/2308.03688</x:v>
      </x:c>
      <x:c r="E18" s="78" t="str">
        <x:v>八类交互环境的通用 Agent 评测。</x:v>
      </x:c>
    </x:row>
    <x:row r="19" ht="34" customHeight="1">
      <x:c r="A19" s="91" t="str">
        <x:v>S13</x:v>
      </x:c>
      <x:c r="B19" s="78" t="str">
        <x:v>AgentBoard</x:v>
      </x:c>
      <x:c r="C19" s="91" t="n">
        <x:v>2024</x:v>
      </x:c>
      <x:c r="D19" s="78" t="str">
        <x:v>https://arxiv.org/abs/2401.13178</x:v>
      </x:c>
      <x:c r="E19" s="78" t="str">
        <x:v>多轮 Agent 分析框架与 progress rate。</x:v>
      </x:c>
    </x:row>
    <x:row r="20" ht="34" customHeight="1">
      <x:c r="A20" s="91" t="str">
        <x:v>S14</x:v>
      </x:c>
      <x:c r="B20" s="78" t="str">
        <x:v>OSWorld</x:v>
      </x:c>
      <x:c r="C20" s="91" t="n">
        <x:v>2024</x:v>
      </x:c>
      <x:c r="D20" s="78" t="str">
        <x:v>https://arxiv.org/abs/2404.07972</x:v>
      </x:c>
      <x:c r="E20" s="78" t="str">
        <x:v>369 个真实电脑任务、初始化与执行式 evaluator。</x:v>
      </x:c>
    </x:row>
    <x:row r="21" ht="34" customHeight="1">
      <x:c r="A21" s="91" t="str">
        <x:v>S15</x:v>
      </x:c>
      <x:c r="B21" s="78" t="str">
        <x:v>AndroidWorld</x:v>
      </x:c>
      <x:c r="C21" s="91" t="n">
        <x:v>2024</x:v>
      </x:c>
      <x:c r="D21" s="78" t="str">
        <x:v>https://arxiv.org/abs/2405.14573</x:v>
      </x:c>
      <x:c r="E21" s="78" t="str">
        <x:v>116 个参数化移动任务，含 setup/success/teardown。</x:v>
      </x:c>
    </x:row>
    <x:row r="22" ht="34" customHeight="1">
      <x:c r="A22" s="91" t="str">
        <x:v>S16</x:v>
      </x:c>
      <x:c r="B22" s="78" t="str">
        <x:v>Terminal-Bench 2.0</x:v>
      </x:c>
      <x:c r="C22" s="91" t="n">
        <x:v>2026</x:v>
      </x:c>
      <x:c r="D22" s="78" t="str">
        <x:v>https://arxiv.org/abs/2601.11868</x:v>
      </x:c>
      <x:c r="E22" s="78" t="str">
        <x:v>89 个真实终端任务、独立环境与综合测试。</x:v>
      </x:c>
    </x:row>
    <x:row r="23" ht="34" customHeight="1">
      <x:c r="A23" s="91" t="str">
        <x:v>S17</x:v>
      </x:c>
      <x:c r="B23" s="78" t="str">
        <x:v>Continual Harness</x:v>
      </x:c>
      <x:c r="C23" s="91" t="n">
        <x:v>2026</x:v>
      </x:c>
      <x:c r="D23" s="78" t="str">
        <x:v>https://arxiv.org/abs/2605.09998</x:v>
      </x:c>
      <x:c r="E23" s="78" t="str">
        <x:v>Pokemon Red/Emerald 的不重置长程 harness 适应。</x:v>
      </x:c>
    </x:row>
    <x:row r="24" ht="34" customHeight="1">
      <x:c r="A24" s="91" t="str">
        <x:v>S18</x:v>
      </x:c>
      <x:c r="B24" s="78" t="str">
        <x:v>Prime Agent</x:v>
      </x:c>
      <x:c r="C24" s="91" t="n">
        <x:v>2026</x:v>
      </x:c>
      <x:c r="D24" s="78" t="str">
        <x:v>https://arxiv.org/abs/2608.23552</x:v>
      </x:c>
      <x:c r="E24" s="78" t="str">
        <x:v>长程 harness；ARC-AGI-3、Factorio 等环境。</x:v>
      </x:c>
    </x:row>
    <x:row r="25" ht="34" customHeight="1">
      <x:c r="A25" s="91" t="str">
        <x:v>S19</x:v>
      </x:c>
      <x:c r="B25" s="78" t="str">
        <x:v>Darwin Gödel Machine</x:v>
      </x:c>
      <x:c r="C25" s="91" t="n">
        <x:v>2025</x:v>
      </x:c>
      <x:c r="D25" s="78" t="str">
        <x:v>https://arxiv.org/abs/2505.22954</x:v>
      </x:c>
      <x:c r="E25" s="78" t="str">
        <x:v>SWE-bench 与 Polyglot 上的开放式 Agent 代码进化。</x:v>
      </x:c>
    </x:row>
    <x:row r="26" ht="34" customHeight="1">
      <x:c r="A26" s="91" t="str">
        <x:v>S20</x:v>
      </x:c>
      <x:c r="B26" s="78" t="str">
        <x:v>A Self-Improving Coding Agent</x:v>
      </x:c>
      <x:c r="C26" s="91" t="n">
        <x:v>2025</x:v>
      </x:c>
      <x:c r="D26" s="78" t="str">
        <x:v>https://arxiv.org/abs/2504.15228</x:v>
      </x:c>
      <x:c r="E26" s="78" t="str">
        <x:v>SWE-bench Verified、LiveCodeBench 与合成 Agent 任务。</x:v>
      </x:c>
    </x:row>
    <x:row r="27" ht="34" customHeight="1">
      <x:c r="A27" s="91" t="str">
        <x:v>S21</x:v>
      </x:c>
      <x:c r="B27" s="78" t="str">
        <x:v>AFlow</x:v>
      </x:c>
      <x:c r="C27" s="91" t="n">
        <x:v>2024</x:v>
      </x:c>
      <x:c r="D27" s="78" t="str">
        <x:v>https://arxiv.org/abs/2410.10762</x:v>
      </x:c>
      <x:c r="E27" s="78" t="str">
        <x:v>MCTS 搜索 workflow；六个 QA/代码/数学 benchmark。</x:v>
      </x:c>
    </x:row>
    <x:row r="28" ht="34" customHeight="1">
      <x:c r="A28" s="91" t="str">
        <x:v>S22</x:v>
      </x:c>
      <x:c r="B28" s="78" t="str">
        <x:v>SkillsBench</x:v>
      </x:c>
      <x:c r="C28" s="91" t="n">
        <x:v>2026</x:v>
      </x:c>
      <x:c r="D28" s="78" t="str">
        <x:v>https://arxiv.org/abs/2602.12670</x:v>
      </x:c>
      <x:c r="E28" s="78" t="str">
        <x:v>86 个任务、11 个领域、确定性 verifier。</x:v>
      </x:c>
    </x:row>
    <x:row r="29" ht="34" customHeight="1">
      <x:c r="A29" s="91" t="str">
        <x:v>S23</x:v>
      </x:c>
      <x:c r="B29" s="78" t="str">
        <x:v>PAIRED / Unsupervised Environment Design</x:v>
      </x:c>
      <x:c r="C29" s="91" t="n">
        <x:v>2020</x:v>
      </x:c>
      <x:c r="D29" s="78" t="str">
        <x:v>https://papers.nips.cc/paper/2020/hash/985e9a46e10005356bbaf194249f6856-Abstract.html</x:v>
      </x:c>
      <x:c r="E29" s="78" t="str">
        <x:v>regret 驱动的困难但可解环境课程。</x:v>
      </x:c>
    </x:row>
    <x:row r="30" ht="34" customHeight="1">
      <x:c r="A30" s="91" t="str">
        <x:v>S24</x:v>
      </x:c>
      <x:c r="B30" s="78" t="str">
        <x:v>ACCEL</x:v>
      </x:c>
      <x:c r="C30" s="91" t="n">
        <x:v>2022</x:v>
      </x:c>
      <x:c r="D30" s="78" t="str">
        <x:v>https://proceedings.mlr.press/v162/parker-holder22a.html</x:v>
      </x:c>
      <x:c r="E30" s="78" t="str">
        <x:v>编辑已有 level 并用 regret 保持能力前沿。</x:v>
      </x:c>
    </x:row>
    <x:row r="31" ht="34" customHeight="1">
      <x:c r="A31" s="91" t="str">
        <x:v>S25</x:v>
      </x:c>
      <x:c r="B31" s="78" t="str">
        <x:v>Procgen Benchmark</x:v>
      </x:c>
      <x:c r="C31" s="91" t="n">
        <x:v>2019</x:v>
      </x:c>
      <x:c r="D31" s="78" t="str">
        <x:v>https://arxiv.org/abs/1912.01588</x:v>
      </x:c>
      <x:c r="E31" s="78" t="str">
        <x:v>16 个程序化游戏环境与未见关卡泛化。</x:v>
      </x:c>
    </x:row>
    <x:row r="32" ht="34" customHeight="1">
      <x:c r="A32" s="91" t="str">
        <x:v>S26</x:v>
      </x:c>
      <x:c r="B32" s="78" t="str">
        <x:v>Enhanced POET</x:v>
      </x:c>
      <x:c r="C32" s="91" t="n">
        <x:v>2020</x:v>
      </x:c>
      <x:c r="D32" s="78" t="str">
        <x:v>https://proceedings.mlr.press/v119/wang20l.html</x:v>
      </x:c>
      <x:c r="E32" s="78" t="str">
        <x:v>环境-策略配对种群、novelty、迁移与开放式档案。</x:v>
      </x:c>
    </x:row>
    <x:row r="33" ht="34" customHeight="1">
      <x:c r="A33" s="91" t="str">
        <x:v>S27</x:v>
      </x:c>
      <x:c r="B33" s="78" t="str">
        <x:v>OMNI-EPIC</x:v>
      </x:c>
      <x:c r="C33" s="91" t="n">
        <x:v>2024</x:v>
      </x:c>
      <x:c r="D33" s="78" t="str">
        <x:v>https://arxiv.org/abs/2405.15568</x:v>
      </x:c>
      <x:c r="E33" s="78" t="str">
        <x:v>用基础模型生成环境代码和奖励代码。</x:v>
      </x:c>
    </x:row>
    <x:row r="34" ht="34" customHeight="1">
      <x:c r="A34" s="91" t="str">
        <x:v>S28</x:v>
      </x:c>
      <x:c r="B34" s="78" t="str">
        <x:v>EnvGen</x:v>
      </x:c>
      <x:c r="C34" s="91" t="n">
        <x:v>2024</x:v>
      </x:c>
      <x:c r="D34" s="78" t="str">
        <x:v>https://arxiv.org/abs/2403.12014</x:v>
      </x:c>
      <x:c r="E34" s="78" t="str">
        <x:v>LLM 生成和调整具身环境配置。</x:v>
      </x:c>
    </x:row>
    <x:row r="35" ht="34" customHeight="1">
      <x:c r="A35" s="91" t="str">
        <x:v>S29</x:v>
      </x:c>
      <x:c r="B35" s="78" t="str">
        <x:v>GenEnv</x:v>
      </x:c>
      <x:c r="C35" s="91" t="n">
        <x:v>2025</x:v>
      </x:c>
      <x:c r="D35" s="78" t="str">
        <x:v>https://arxiv.org/abs/2512.19682</x:v>
      </x:c>
      <x:c r="E35" s="78" t="str">
        <x:v>难度对齐的生成式环境模拟器。</x:v>
      </x:c>
    </x:row>
    <x:row r="36" ht="34" customHeight="1">
      <x:c r="A36" s="91" t="str">
        <x:v>S30</x:v>
      </x:c>
      <x:c r="B36" s="78" t="str">
        <x:v>Agent-World</x:v>
      </x:c>
      <x:c r="C36" s="91" t="n">
        <x:v>2026</x:v>
      </x:c>
      <x:c r="D36" s="78" t="str">
        <x:v>https://arxiv.org/abs/2604.18292</x:v>
      </x:c>
      <x:c r="E36" s="78" t="str">
        <x:v>从工具生态与数据库合成可执行环境和任务。</x:v>
      </x:c>
    </x:row>
    <x:row r="37" ht="34" customHeight="1">
      <x:c r="A37" s="91" t="str">
        <x:v>S31</x:v>
      </x:c>
      <x:c r="B37" s="78" t="str">
        <x:v>VeriEnv</x:v>
      </x:c>
      <x:c r="C37" s="91" t="n">
        <x:v>2026</x:v>
      </x:c>
      <x:c r="D37" s="78" t="str">
        <x:v>https://arxiv.org/abs/2603.10505</x:v>
      </x:c>
      <x:c r="E37" s="78" t="str">
        <x:v>克隆可执行网站并用后端状态做确定性验证。</x:v>
      </x:c>
    </x:row>
    <x:row r="38" ht="34" customHeight="1">
      <x:c r="A38" s="91" t="str">
        <x:v>S32</x:v>
      </x:c>
      <x:c r="B38" s="78" t="str">
        <x:v>BrowserGym</x:v>
      </x:c>
      <x:c r="C38" s="91" t="n">
        <x:v>2025</x:v>
      </x:c>
      <x:c r="D38" s="78" t="str">
        <x:v>https://github.com/ServiceNow/BrowserGym</x:v>
      </x:c>
      <x:c r="E38" s="78" t="str">
        <x:v>统一接入 MiniWoB、WebArena、WorkArena 等网页 benchmark。</x:v>
      </x:c>
    </x:row>
    <x:row r="39" ht="34" customHeight="1">
      <x:c r="A39" s="91" t="str">
        <x:v>S33</x:v>
      </x:c>
      <x:c r="B39" s="78" t="str">
        <x:v>LiveCodeBench</x:v>
      </x:c>
      <x:c r="C39" s="91" t="n">
        <x:v>2024</x:v>
      </x:c>
      <x:c r="D39" s="78" t="str">
        <x:v>https://arxiv.org/abs/2403.07974</x:v>
      </x:c>
      <x:c r="E39" s="78" t="str">
        <x:v>持续更新、污染控制的代码评测。</x:v>
      </x:c>
    </x:row>
    <x:row r="40" ht="34" customHeight="1">
      <x:c r="A40" s="91" t="str">
        <x:v>S34</x:v>
      </x:c>
      <x:c r="B40" s="78" t="str">
        <x:v>ToolSandbox</x:v>
      </x:c>
      <x:c r="C40" s="91" t="n">
        <x:v>2024</x:v>
      </x:c>
      <x:c r="D40" s="78" t="str">
        <x:v>https://arxiv.org/abs/2408.04682</x:v>
      </x:c>
      <x:c r="E40" s="78" t="str">
        <x:v>带隐式状态依赖、里程碑和可执行工具的 stateful tool-use benchmark。</x:v>
      </x:c>
    </x:row>
    <x:row r="41" ht="34" customHeight="1">
      <x:c r="A41" s="91" t="str">
        <x:v>S35</x:v>
      </x:c>
      <x:c r="B41" s="78" t="str">
        <x:v>WorkBench</x:v>
      </x:c>
      <x:c r="C41" s="91" t="n">
        <x:v>2024</x:v>
      </x:c>
      <x:c r="D41" s="78" t="str">
        <x:v>https://openreview.net/forum?id=4HNAwZFDcH</x:v>
      </x:c>
      <x:c r="E41" s="78" t="str">
        <x:v>五个数据库、26 个工具和 690 个 workplace 任务，覆盖邮件与日历。</x:v>
      </x:c>
    </x:row>
    <x:row r="42" ht="34" customHeight="1">
      <x:c r="A42" s="91" t="str">
        <x:v>S36</x:v>
      </x:c>
      <x:c r="B42" s="78" t="str">
        <x:v>WebArena-Verified</x:v>
      </x:c>
      <x:c r="C42" s="91" t="n">
        <x:v>2025</x:v>
      </x:c>
      <x:c r="D42" s="78" t="str">
        <x:v>https://github.com/ServiceNow/webarena-verified</x:v>
      </x:c>
      <x:c r="E42" s="78" t="str">
        <x:v>审计后的网页任务与基于 response/network trace 的离线 evaluator。</x:v>
      </x:c>
    </x:row>
    <x:row r="43" ht="34" customHeight="1">
      <x:c r="A43" s="91" t="str">
        <x:v>S37</x:v>
      </x:c>
      <x:c r="B43" s="78" t="str">
        <x:v>τ³-bench current repository</x:v>
      </x:c>
      <x:c r="C43" s="91" t="n">
        <x:v>2026</x:v>
      </x:c>
      <x:c r="D43" s="78" t="str">
        <x:v>https://github.com/sierra-research/tau2-bench</x:v>
      </x:c>
      <x:c r="E43" s="78" t="str">
        <x:v>当前 τ³ 代码、任务、domain DB 与多方交互；实验需固定 release。</x:v>
      </x:c>
    </x:row>
  </x:sheetData>
  <x:pageMargins left="0.7" right="0.7" top="0.75" bottom="0.75" header="0.3" footer="0.3"/>
  <x:tableParts count="1">
    <x:tablePart xmlns:r="http://schemas.openxmlformats.org/officeDocument/2006/relationships" r:id="R7527eac63be34721"/>
  </x:tableParts>
</x:worksheet>
</file>